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💳 Payment Control" sheetId="1" state="visible" r:id="rId3"/>
    <sheet name="📅 Weekly Cash Plan" sheetId="2" state="visible" r:id="rId4"/>
    <sheet name="🏢 Vendor Tracker" sheetId="3" state="visible" r:id="rId5"/>
    <sheet name="📋 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<sst xmlns="http://schemas.openxmlformats.org/spreadsheetml/2006/main" count="191" uniqueCount="155">
  <si>
    <t xml:space="preserve">CASH FLOW OFFICE  |  Payment &amp; Expense Scheduler — Payment Control</t>
  </si>
  <si>
    <t xml:space="preserve">Company:</t>
  </si>
  <si>
    <t xml:space="preserve">Report Date:</t>
  </si>
  <si>
    <t xml:space="preserve">Prepared By:</t>
  </si>
  <si>
    <t xml:space="preserve">Period:</t>
  </si>
  <si>
    <t xml:space="preserve">Today's Date (auto):</t>
  </si>
  <si>
    <t xml:space="preserve">Total Unpaid</t>
  </si>
  <si>
    <t xml:space="preserve">Total Scheduled</t>
  </si>
  <si>
    <t xml:space="preserve">Total Paid</t>
  </si>
  <si>
    <t xml:space="preserve">Overdue (Past Due)</t>
  </si>
  <si>
    <t xml:space="preserve">PRIORITY GUIDE:  🔴 Critical = must pay to keep operations running (payroll, key subs, materials on active jobs)   🟡 Important = should pay this week   🟢 Flexible = can delay 1–2 weeks without consequence</t>
  </si>
  <si>
    <t xml:space="preserve">VENDOR INFO</t>
  </si>
  <si>
    <t xml:space="preserve">JOB REFERENCE</t>
  </si>
  <si>
    <t xml:space="preserve">INVOICE DETAIL</t>
  </si>
  <si>
    <t xml:space="preserve">DAYS DUE ▶</t>
  </si>
  <si>
    <t xml:space="preserve">AMOUNT</t>
  </si>
  <si>
    <t xml:space="preserve">PRIORITY &amp; STATUS</t>
  </si>
  <si>
    <t xml:space="preserve">PAY PLANNING</t>
  </si>
  <si>
    <t xml:space="preserve">DELAY FLAG</t>
  </si>
  <si>
    <t xml:space="preserve">NOTES</t>
  </si>
  <si>
    <t xml:space="preserve">BALANCE ▶</t>
  </si>
  <si>
    <t xml:space="preserve">#</t>
  </si>
  <si>
    <t xml:space="preserve">Vendor / Payee</t>
  </si>
  <si>
    <t xml:space="preserve">Category</t>
  </si>
  <si>
    <t xml:space="preserve">Job / Project</t>
  </si>
  <si>
    <t xml:space="preserve">Cost Code</t>
  </si>
  <si>
    <t xml:space="preserve">Invoice #</t>
  </si>
  <si>
    <t xml:space="preserve">Invoice
Date</t>
  </si>
  <si>
    <t xml:space="preserve">Due Date</t>
  </si>
  <si>
    <t xml:space="preserve">Days Until
Due ▶</t>
  </si>
  <si>
    <t xml:space="preserve">Amount
Due</t>
  </si>
  <si>
    <t xml:space="preserve">Priority</t>
  </si>
  <si>
    <t xml:space="preserve">Pay
Status</t>
  </si>
  <si>
    <t xml:space="preserve">Suggested
Pay Date</t>
  </si>
  <si>
    <t xml:space="preserve">Amount
Paid</t>
  </si>
  <si>
    <t xml:space="preserve">Delay
Flag</t>
  </si>
  <si>
    <t xml:space="preserve">Delay Reason /
Notes</t>
  </si>
  <si>
    <t xml:space="preserve">Balance
Remaining ▶</t>
  </si>
  <si>
    <t xml:space="preserve">TOTALS</t>
  </si>
  <si>
    <t xml:space="preserve">Cash Flow Office  |  cfo@cashflowoffice.com  |  cashflowoffice.com  |  © 2026 Darlene Martin  |  Unprotect password: CFO2026</t>
  </si>
  <si>
    <t xml:space="preserve">CASH FLOW OFFICE  |  Payment Scheduler — 8-Week Rolling Cash Plan</t>
  </si>
  <si>
    <t xml:space="preserve">PM / Owner:</t>
  </si>
  <si>
    <t xml:space="preserve">Period Start:</t>
  </si>
  <si>
    <t xml:space="preserve">PAYMENT / METRIC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</si>
  <si>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</si>
  <si>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</si>
  <si>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</si>
  <si>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</si>
  <si>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</si>
  <si>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</si>
  <si>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</si>
  <si>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</si>
  <si>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Starting →</t>
  </si>
  <si>
    <t xml:space="preserve">💰 Cash Available This Week (Opening Balance)</t>
  </si>
  <si>
    <t xml:space="preserve">🚫 Do-Not-Exceed Weekly Spend Cap</t>
  </si>
  <si>
    <t xml:space="preserve">▼  PAYMENTS SCHEDULED THIS WEEK  (Enter vendor + amount per week column)</t>
  </si>
  <si>
    <t xml:space="preserve">Payroll / Labor</t>
  </si>
  <si>
    <t xml:space="preserve">Sub — [Enter Name]</t>
  </si>
  <si>
    <t xml:space="preserve">Materials — [Supplier]</t>
  </si>
  <si>
    <t xml:space="preserve">Equipment Rental</t>
  </si>
  <si>
    <t xml:space="preserve">Overhead — Rent</t>
  </si>
  <si>
    <t xml:space="preserve">Overhead — Insurance</t>
  </si>
  <si>
    <t xml:space="preserve">Overhead — Utilities</t>
  </si>
  <si>
    <t xml:space="preserve">Loan / LOC Payment</t>
  </si>
  <si>
    <t xml:space="preserve">Owner Draw</t>
  </si>
  <si>
    <t xml:space="preserve">Other — [Describe]</t>
  </si>
  <si>
    <t xml:space="preserve">TOTAL PAYMENTS SCHEDULED</t>
  </si>
  <si>
    <t xml:space="preserve">Committed  (Scheduled ÷ Available)</t>
  </si>
  <si>
    <t xml:space="preserve">💰 Remaining Cash After Scheduled Payments</t>
  </si>
  <si>
    <t xml:space="preserve">🚫 Cap Headroom  (Cap − Scheduled)</t>
  </si>
  <si>
    <t xml:space="preserve">▼  DELAYED PAYMENTS  (Payments being held / pushed to a future week)</t>
  </si>
  <si>
    <t xml:space="preserve">[Vendor — delayed from Payment Control tab]</t>
  </si>
  <si>
    <t xml:space="preserve">TOTAL DELAYED (Watching)</t>
  </si>
  <si>
    <t xml:space="preserve">WEEKLY HEALTH SNAPSHOT</t>
  </si>
  <si>
    <t xml:space="preserve">Cash Available</t>
  </si>
  <si>
    <t xml:space="preserve">Scheduled Payments</t>
  </si>
  <si>
    <t xml:space="preserve">Remaining After Payments</t>
  </si>
  <si>
    <t xml:space="preserve">Cap Headroom</t>
  </si>
  <si>
    <t xml:space="preserve">Delayed (Watching)</t>
  </si>
  <si>
    <t xml:space="preserve">CASH FLOW OFFICE  |  Payment Scheduler — Vendor &amp; Sub Tracker</t>
  </si>
  <si>
    <t xml:space="preserve">Total Vendors / Subs</t>
  </si>
  <si>
    <t xml:space="preserve">Total Open Balances</t>
  </si>
  <si>
    <t xml:space="preserve">Total Paid YTD</t>
  </si>
  <si>
    <t xml:space="preserve">ID</t>
  </si>
  <si>
    <t xml:space="preserve">CONTACT INFO</t>
  </si>
  <si>
    <t xml:space="preserve">PAYMENT TERMS</t>
  </si>
  <si>
    <t xml:space="preserve">PAYMENT HISTORY</t>
  </si>
  <si>
    <t xml:space="preserve">INVOICE / PAYMENT DATES</t>
  </si>
  <si>
    <t xml:space="preserve">LIEN WAIVER TRACKING</t>
  </si>
  <si>
    <t xml:space="preserve">Vendor / Sub Name</t>
  </si>
  <si>
    <t xml:space="preserve">Contact Name</t>
  </si>
  <si>
    <t xml:space="preserve">Phone / Email</t>
  </si>
  <si>
    <t xml:space="preserve">Payment Terms
(Net 30, etc.)</t>
  </si>
  <si>
    <t xml:space="preserve">Preferred
Pay Method</t>
  </si>
  <si>
    <t xml:space="preserve">Avg Days
to Pay</t>
  </si>
  <si>
    <t xml:space="preserve">Total Paid
YTD</t>
  </si>
  <si>
    <t xml:space="preserve">Open
Balance</t>
  </si>
  <si>
    <t xml:space="preserve">Last Invoice
Date</t>
  </si>
  <si>
    <t xml:space="preserve">Last Payment
Date</t>
  </si>
  <si>
    <t xml:space="preserve">Days Since
Last Paid ▶</t>
  </si>
  <si>
    <t xml:space="preserve">LW
Required?</t>
  </si>
  <si>
    <t xml:space="preserve">Last LW
Date</t>
  </si>
  <si>
    <t xml:space="preserve">LW
Status</t>
  </si>
  <si>
    <t xml:space="preserve">Notes /
Relationship</t>
  </si>
  <si>
    <t xml:space="preserve">CASH FLOW OFFICE  |  Payment &amp; Expense Scheduler — How to Use</t>
  </si>
  <si>
    <t xml:space="preserve">This workbook has 3 working tabs + this instructions page.
It answers one question the other two templates can't: 'What do I actually pay THIS week — and in what order?'
Use it every Monday morning. It takes 10 minutes and eliminates the guesswork of who gets paid when.</t>
  </si>
  <si>
    <t xml:space="preserve">TAB 1 — 💳 PAYMENT CONTROL  (Your master bill list)</t>
  </si>
  <si>
    <t xml:space="preserve">Add every bill here</t>
  </si>
  <si>
    <t xml:space="preserve">Enter every outstanding payable — sub invoices, material bills, payroll, overhead, loans. One row per invoice. This is your single source of truth for what you owe.</t>
  </si>
  <si>
    <t xml:space="preserve">Set Priority</t>
  </si>
  <si>
    <t xml:space="preserve">Critical = must pay to keep the job and business running (payroll, active job subs, material orders). Important = should pay this week. Flexible = can delay 1–2 weeks without consequence. Be honest — over-assigning Critical defeats the purpose.</t>
  </si>
  <si>
    <t xml:space="preserve">Days Until Due column ▶</t>
  </si>
  <si>
    <t xml:space="preserve">Auto-calculates from today's date. Red = already overdue. Orange = due within 7 days. This is your first filter — sort by this column every Monday morning.</t>
  </si>
  <si>
    <t xml:space="preserve">Delay Flag</t>
  </si>
  <si>
    <t xml:space="preserve">Use 'Delay' to push a payment without losing it. The payment stays visible in the list and carries into the Weekly Cash Plan's Delayed section. 'Hold' = do not pay until further notice.</t>
  </si>
  <si>
    <t xml:space="preserve">Summary bar at top</t>
  </si>
  <si>
    <t xml:space="preserve">Total Unpaid, Scheduled, Paid, and Overdue auto-calculate at the top of the tab. The Overdue number is your most urgent signal — address any non-zero Overdue amount first.</t>
  </si>
  <si>
    <t xml:space="preserve">TAB 2 — 📅 WEEKLY CASH PLAN  (What to pay this week)</t>
  </si>
  <si>
    <t xml:space="preserve">Enter Cash Available (Row 6)</t>
  </si>
  <si>
    <t xml:space="preserve">Enter how much cash you actually have available at the start of each week. This is your real bank balance minus any checks already in flight.</t>
  </si>
  <si>
    <t xml:space="preserve">Set your Do-Not-Exceed Cap (Row 7)</t>
  </si>
  <si>
    <t xml:space="preserve">This is the maximum you're allowing yourself to spend in a given week — regardless of what's due. Setting a cap forces prioritization and prevents you from draining the account on a good week only to be short the following week.</t>
  </si>
  <si>
    <t xml:space="preserve">Enter payments in the week you plan to make them</t>
  </si>
  <si>
    <t xml:space="preserve">Copy vendor names from the Payment Control tab. Enter the amount in the week column you plan to pay. Committed % and Remaining Cash auto-calculate instantly.</t>
  </si>
  <si>
    <t xml:space="preserve">Delayed Payments section (bottom)</t>
  </si>
  <si>
    <t xml:space="preserve">Copy any 'Delay' flagged payments from the Payment Control tab here. They show as a separate total so you never forget about them — they're just pushed, not erased. Review weekly to decide when to release them.</t>
  </si>
  <si>
    <t xml:space="preserve">TAB 3 — 🏢 VENDOR TRACKER  (Know who you're paying)</t>
  </si>
  <si>
    <t xml:space="preserve">One row per vendor or sub</t>
  </si>
  <si>
    <t xml:space="preserve">Track payment terms, preferred payment method, YTD paid, and open balance. This becomes your reference when a sub calls asking where their check is.</t>
  </si>
  <si>
    <t xml:space="preserve">Lien Waiver tracking columns</t>
  </si>
  <si>
    <t xml:space="preserve">Track whether a lien waiver is required for each vendor, the date of the last waiver, and current status (Current / Pending / Missing). Missing lien waivers = legal exposure. Check this column before releasing final payment on any job.</t>
  </si>
  <si>
    <t xml:space="preserve">Days Since Last Paid ▶</t>
  </si>
  <si>
    <t xml:space="preserve">Auto-calculates from today. Orange flag triggers at 45+ days. Long-unpaid subs become unhappy subs — and unhappy subs walk off jobs. Use this to stay ahead of relationship risk.</t>
  </si>
  <si>
    <t xml:space="preserve">THE MONDAY MORNING ROUTINE (10 minutes)</t>
  </si>
  <si>
    <t xml:space="preserve">Step 1 — Payment Control tab</t>
  </si>
  <si>
    <t xml:space="preserve">Sort by Days Until Due. Address anything overdue first. Update status on anything paid last week to 'Paid'.</t>
  </si>
  <si>
    <t xml:space="preserve">Step 2 — Weekly Cash Plan tab</t>
  </si>
  <si>
    <t xml:space="preserve">Enter this week's cash available. Review what's scheduled. Check Remaining Cash and Cap Headroom. If remaining cash is red — go back to Payment Control and flip some Important items to Delay.</t>
  </si>
  <si>
    <t xml:space="preserve">Step 3 — Vendor Tracker tab</t>
  </si>
  <si>
    <t xml:space="preserve">Scan the LW Status column for 'Missing'. Scan Days Since Last Paid for anything over 45 days. Make a call before it becomes a problem.</t>
  </si>
  <si>
    <t xml:space="preserve">COLOR &amp; PROTECTION GUIDE</t>
  </si>
  <si>
    <t xml:space="preserve">🟡 Yellow cells</t>
  </si>
  <si>
    <t xml:space="preserve">Input cells — always unlocked, enter your data here.</t>
  </si>
  <si>
    <t xml:space="preserve">🔵 Blue ▶ cells</t>
  </si>
  <si>
    <t xml:space="preserve">Auto-calculated formulas — locked, do not overwrite.</t>
  </si>
  <si>
    <t xml:space="preserve">🔴 Red</t>
  </si>
  <si>
    <t xml:space="preserve">Overdue, over budget, missing lien waiver, negative cash.</t>
  </si>
  <si>
    <t xml:space="preserve">🟠 Orange</t>
  </si>
  <si>
    <t xml:space="preserve">Due within 7 days, warning zone, 80–100% of cap committed.</t>
  </si>
  <si>
    <t xml:space="preserve">🟢 Green</t>
  </si>
  <si>
    <t xml:space="preserve">Healthy — paid, current, positive remaining cash.</t>
  </si>
  <si>
    <t xml:space="preserve">🟣 Purple</t>
  </si>
  <si>
    <t xml:space="preserve">Delayed payments — pushed but not forgotten.</t>
  </si>
  <si>
    <t xml:space="preserve">Unprotect password</t>
  </si>
  <si>
    <t xml:space="preserve">Review → Unprotect Sheet → CFO2026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</si>
</sst>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m\ dd&quot;, &quot;yyyy"/>
    <numFmt numFmtId="166" formatCode="\$#,##0;&quot;($&quot;#,##0\);\-"/>
    <numFmt numFmtId="167" formatCode="mm/dd/yyyy"/>
    <numFmt numFmtId="168" formatCode="0;\(0\);\-"/>
    <numFmt numFmtId="169" formatCode="mmm\ dd"/>
    <numFmt numFmtId="170" formatCode="0%;\(0%\);\-"/>
    <numFmt numFmtId="171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1F2D3D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66573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C0392B"/>
      <name val="Arial"/>
      <family val="0"/>
      <charset val="1"/>
    </font>
    <font>
      <i val="true"/>
      <sz val="10"/>
      <color rgb="FF566573"/>
      <name val="Arial"/>
      <family val="0"/>
      <charset val="1"/>
    </font>
    <font>
      <i val="true"/>
      <sz val="11"/>
      <color rgb="FF1F2D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2D3D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2E5F8A"/>
        <bgColor rgb="FF566573"/>
      </patternFill>
    </fill>
    <fill>
      <patternFill patternType="solid">
        <fgColor rgb="FFFFF9C4"/>
        <bgColor rgb="FFFDEBD0"/>
      </patternFill>
    </fill>
    <fill>
      <patternFill patternType="solid">
        <fgColor rgb="FFFADBD8"/>
        <bgColor rgb="FFE8DAEF"/>
      </patternFill>
    </fill>
    <fill>
      <patternFill patternType="solid">
        <fgColor rgb="FFFDEBD0"/>
        <bgColor rgb="FFFFF9C4"/>
      </patternFill>
    </fill>
    <fill>
      <patternFill patternType="solid">
        <fgColor rgb="FFD5F5E3"/>
        <bgColor rgb="FFD0ECE7"/>
      </patternFill>
    </fill>
    <fill>
      <patternFill patternType="solid">
        <fgColor rgb="FFF2F3F4"/>
        <bgColor rgb="FFFFFFFF"/>
      </patternFill>
    </fill>
    <fill>
      <patternFill patternType="solid">
        <fgColor rgb="FF566573"/>
        <bgColor rgb="FF2E5F8A"/>
      </patternFill>
    </fill>
    <fill>
      <patternFill patternType="solid">
        <fgColor rgb="FF1A6B3C"/>
        <bgColor rgb="FF0E6655"/>
      </patternFill>
    </fill>
    <fill>
      <patternFill patternType="solid">
        <fgColor rgb="FFE67E22"/>
        <bgColor rgb="FFFF9900"/>
      </patternFill>
    </fill>
    <fill>
      <patternFill patternType="solid">
        <fgColor rgb="FF6C3483"/>
        <bgColor rgb="FF993366"/>
      </patternFill>
    </fill>
    <fill>
      <patternFill patternType="solid">
        <fgColor rgb="FFD6E4F0"/>
        <bgColor rgb="FFD0ECE7"/>
      </patternFill>
    </fill>
    <fill>
      <patternFill patternType="solid">
        <fgColor rgb="FFFFFFFF"/>
        <bgColor rgb="FFF2F3F4"/>
      </patternFill>
    </fill>
    <fill>
      <patternFill patternType="solid">
        <fgColor rgb="FFE8DAEF"/>
        <bgColor rgb="FFFADBD8"/>
      </patternFill>
    </fill>
    <fill>
      <patternFill patternType="solid">
        <fgColor rgb="FF0E6655"/>
        <bgColor rgb="FF1A6B3C"/>
      </patternFill>
    </fill>
    <fill>
      <patternFill patternType="solid">
        <fgColor rgb="FFD0ECE7"/>
        <bgColor rgb="FFD5F5E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9CA"/>
      </left>
      <right/>
      <top style="thin">
        <color rgb="FFBFC9CA"/>
      </top>
      <bottom style="thin">
        <color rgb="FFBFC9CA"/>
      </bottom>
      <diagonal/>
    </border>
    <border diagonalUp="false" diagonalDown="false"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6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4" borderId="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7" fontId="6" fillId="6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6" fillId="6" borderId="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6" fontId="1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1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6" fillId="1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6" fillId="4" borderId="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6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8" borderId="1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6" fontId="6" fillId="8" borderId="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6" fillId="14" borderId="1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5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5" borderId="1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6" fontId="6" fillId="15" borderId="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8" fillId="14" borderId="1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6" fontId="5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1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6" fillId="1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6" fillId="1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C0392B"/>
        <sz val="10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7D6608"/>
        <sz val="10"/>
      </font>
      <fill>
        <patternFill>
          <bgColor rgb="FFFFF9C4"/>
        </patternFill>
      </fill>
    </dxf>
    <dxf>
      <font>
        <name val="Arial"/>
        <charset val="1"/>
        <family val="0"/>
        <b val="1"/>
        <color rgb="FF1A6B3C"/>
        <sz val="10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E67E22"/>
        <sz val="10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6C3483"/>
        <sz val="10"/>
      </font>
      <fill>
        <patternFill>
          <bgColor rgb="FFE8DAEF"/>
        </patternFill>
      </fill>
    </dxf>
    <dxf>
      <fill>
        <patternFill>
          <bgColor rgb="FFFADBD8"/>
        </patternFill>
      </fill>
    </dxf>
    <dxf>
      <font>
        <name val="Arial"/>
        <charset val="1"/>
        <family val="0"/>
        <b val="1"/>
        <color rgb="FF566573"/>
        <sz val="10"/>
      </font>
      <fill>
        <patternFill>
          <bgColor rgb="FFF2F3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7D6608"/>
      <rgbColor rgb="FF800080"/>
      <rgbColor rgb="FF0E6655"/>
      <rgbColor rgb="FFBFC9CA"/>
      <rgbColor rgb="FF808080"/>
      <rgbColor rgb="FF9999FF"/>
      <rgbColor rgb="FF6C3483"/>
      <rgbColor rgb="FFFFF9C4"/>
      <rgbColor rgb="FFD0ECE7"/>
      <rgbColor rgb="FF660066"/>
      <rgbColor rgb="FFFF8080"/>
      <rgbColor rgb="FF2E5F8A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E3"/>
      <rgbColor rgb="FFFDEBD0"/>
      <rgbColor rgb="FFF2F3F4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E67E22"/>
      <rgbColor rgb="FF566573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10"/>
    <col collapsed="false" customWidth="true" hidden="false" outlineLevel="0" max="8" min="6" style="0" width="12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6" min="16" style="0" width="22"/>
    <col collapsed="false" customWidth="true" hidden="false" outlineLevel="0" max="17" min="17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A2" s="2" t="s">
        <v>1</v>
      </c>
      <c r="B2" s="3"/>
      <c r="D2" s="2" t="s">
        <v>2</v>
      </c>
      <c r="E2" s="3"/>
      <c r="G2" s="2" t="s">
        <v>3</v>
      </c>
      <c r="H2" s="3"/>
      <c r="J2" s="2" t="s">
        <v>4</v>
      </c>
      <c r="K2" s="3"/>
    </row>
    <row r="3" customFormat="false" ht="21.75" hidden="false" customHeight="true" outlineLevel="0" collapsed="false">
      <c r="A3" s="4" t="s">
        <v>5</v>
      </c>
      <c r="B3" s="5" t="n">
        <f aca="true">TODAY()</f>
        <v>46111</v>
      </c>
      <c r="D3" s="6" t="s">
        <v>6</v>
      </c>
      <c r="E3" s="7" t="n">
        <f aca="false">SUMIF(L8:L57,"Unpaid",J8:J57)</f>
        <v>0</v>
      </c>
      <c r="G3" s="8" t="s">
        <v>7</v>
      </c>
      <c r="H3" s="9" t="n">
        <f aca="false">SUMIF(L8:L57,"Scheduled",J8:J57)</f>
        <v>0</v>
      </c>
      <c r="J3" s="10" t="s">
        <v>8</v>
      </c>
      <c r="K3" s="11" t="n">
        <f aca="false">SUMIF(L8:L57,"Paid",J8:J57)</f>
        <v>0</v>
      </c>
      <c r="M3" s="6" t="s">
        <v>9</v>
      </c>
      <c r="N3" s="6"/>
    </row>
    <row r="4" customFormat="false" ht="6" hidden="false" customHeight="true" outlineLevel="0" collapsed="false"/>
    <row r="5" customFormat="false" ht="18" hidden="false" customHeight="true" outlineLevel="0" collapsed="false">
      <c r="A5" s="12" t="s">
        <v>10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customFormat="false" ht="15.75" hidden="false" customHeight="true" outlineLevel="0" collapsed="false">
      <c r="A6" s="13" t="s">
        <v>11</v>
      </c>
      <c r="B6" s="13"/>
      <c r="C6" s="14" t="s">
        <v>12</v>
      </c>
      <c r="D6" s="14"/>
      <c r="E6" s="14"/>
      <c r="F6" s="15" t="s">
        <v>13</v>
      </c>
      <c r="G6" s="15"/>
      <c r="H6" s="15"/>
      <c r="I6" s="16" t="s">
        <v>14</v>
      </c>
      <c r="J6" s="17" t="s">
        <v>15</v>
      </c>
      <c r="K6" s="18" t="s">
        <v>16</v>
      </c>
      <c r="L6" s="18"/>
      <c r="M6" s="19" t="s">
        <v>17</v>
      </c>
      <c r="N6" s="19"/>
      <c r="O6" s="20" t="s">
        <v>18</v>
      </c>
      <c r="P6" s="21" t="s">
        <v>19</v>
      </c>
      <c r="Q6" s="16" t="s">
        <v>20</v>
      </c>
    </row>
    <row r="7" customFormat="false" ht="30" hidden="false" customHeight="true" outlineLevel="0" collapsed="false">
      <c r="A7" s="22" t="s">
        <v>21</v>
      </c>
      <c r="B7" s="22" t="s">
        <v>22</v>
      </c>
      <c r="C7" s="23" t="s">
        <v>23</v>
      </c>
      <c r="D7" s="23" t="s">
        <v>24</v>
      </c>
      <c r="E7" s="23" t="s">
        <v>25</v>
      </c>
      <c r="F7" s="24" t="s">
        <v>26</v>
      </c>
      <c r="G7" s="24" t="s">
        <v>27</v>
      </c>
      <c r="H7" s="24" t="s">
        <v>28</v>
      </c>
      <c r="I7" s="22" t="s">
        <v>29</v>
      </c>
      <c r="J7" s="23" t="s">
        <v>30</v>
      </c>
      <c r="K7" s="25" t="s">
        <v>31</v>
      </c>
      <c r="L7" s="25" t="s">
        <v>32</v>
      </c>
      <c r="M7" s="26" t="s">
        <v>33</v>
      </c>
      <c r="N7" s="26" t="s">
        <v>34</v>
      </c>
      <c r="O7" s="27" t="s">
        <v>35</v>
      </c>
      <c r="P7" s="24" t="s">
        <v>36</v>
      </c>
      <c r="Q7" s="22" t="s">
        <v>37</v>
      </c>
    </row>
    <row r="8" customFormat="false" ht="18" hidden="false" customHeight="true" outlineLevel="0" collapsed="false">
      <c r="A8" s="28" t="n">
        <v>1</v>
      </c>
      <c r="B8" s="29"/>
      <c r="C8" s="30"/>
      <c r="D8" s="29"/>
      <c r="E8" s="30"/>
      <c r="F8" s="29"/>
      <c r="G8" s="31"/>
      <c r="H8" s="31"/>
      <c r="I8" s="32" t="str">
        <f aca="false">IF(H8&lt;&gt;"",H8-$B$3,"")</f>
        <v/>
      </c>
      <c r="J8" s="33"/>
      <c r="K8" s="30"/>
      <c r="L8" s="30"/>
      <c r="M8" s="34"/>
      <c r="N8" s="35"/>
      <c r="O8" s="30"/>
      <c r="P8" s="29"/>
      <c r="Q8" s="36" t="str">
        <f aca="false">IF(J8&lt;&gt;"",J8-IF(N8&lt;&gt;"",N8,0),"")</f>
        <v/>
      </c>
    </row>
    <row r="9" customFormat="false" ht="18" hidden="false" customHeight="true" outlineLevel="0" collapsed="false">
      <c r="A9" s="37" t="n">
        <v>2</v>
      </c>
      <c r="B9" s="38"/>
      <c r="C9" s="39"/>
      <c r="D9" s="38"/>
      <c r="E9" s="39"/>
      <c r="F9" s="38"/>
      <c r="G9" s="40"/>
      <c r="H9" s="40"/>
      <c r="I9" s="32" t="str">
        <f aca="false">IF(H9&lt;&gt;"",H9-$B$3,"")</f>
        <v/>
      </c>
      <c r="J9" s="33"/>
      <c r="K9" s="39"/>
      <c r="L9" s="39"/>
      <c r="M9" s="34"/>
      <c r="N9" s="35"/>
      <c r="O9" s="39"/>
      <c r="P9" s="38"/>
      <c r="Q9" s="36" t="str">
        <f aca="false">IF(J9&lt;&gt;"",J9-IF(N9&lt;&gt;"",N9,0),"")</f>
        <v/>
      </c>
    </row>
    <row r="10" customFormat="false" ht="18" hidden="false" customHeight="true" outlineLevel="0" collapsed="false">
      <c r="A10" s="28" t="n">
        <v>3</v>
      </c>
      <c r="B10" s="29"/>
      <c r="C10" s="30"/>
      <c r="D10" s="29"/>
      <c r="E10" s="30"/>
      <c r="F10" s="29"/>
      <c r="G10" s="31"/>
      <c r="H10" s="31"/>
      <c r="I10" s="32" t="str">
        <f aca="false">IF(H10&lt;&gt;"",H10-$B$3,"")</f>
        <v/>
      </c>
      <c r="J10" s="33"/>
      <c r="K10" s="30"/>
      <c r="L10" s="30"/>
      <c r="M10" s="34"/>
      <c r="N10" s="35"/>
      <c r="O10" s="30"/>
      <c r="P10" s="29"/>
      <c r="Q10" s="36" t="str">
        <f aca="false">IF(J10&lt;&gt;"",J10-IF(N10&lt;&gt;"",N10,0),"")</f>
        <v/>
      </c>
    </row>
    <row r="11" customFormat="false" ht="18" hidden="false" customHeight="true" outlineLevel="0" collapsed="false">
      <c r="A11" s="37" t="n">
        <v>4</v>
      </c>
      <c r="B11" s="38"/>
      <c r="C11" s="39"/>
      <c r="D11" s="38"/>
      <c r="E11" s="39"/>
      <c r="F11" s="38"/>
      <c r="G11" s="40"/>
      <c r="H11" s="40"/>
      <c r="I11" s="32" t="str">
        <f aca="false">IF(H11&lt;&gt;"",H11-$B$3,"")</f>
        <v/>
      </c>
      <c r="J11" s="33"/>
      <c r="K11" s="39"/>
      <c r="L11" s="39"/>
      <c r="M11" s="34"/>
      <c r="N11" s="35"/>
      <c r="O11" s="39"/>
      <c r="P11" s="38"/>
      <c r="Q11" s="36" t="str">
        <f aca="false">IF(J11&lt;&gt;"",J11-IF(N11&lt;&gt;"",N11,0),"")</f>
        <v/>
      </c>
    </row>
    <row r="12" customFormat="false" ht="18" hidden="false" customHeight="true" outlineLevel="0" collapsed="false">
      <c r="A12" s="28" t="n">
        <v>5</v>
      </c>
      <c r="B12" s="29"/>
      <c r="C12" s="30"/>
      <c r="D12" s="29"/>
      <c r="E12" s="30"/>
      <c r="F12" s="29"/>
      <c r="G12" s="31"/>
      <c r="H12" s="31"/>
      <c r="I12" s="32" t="str">
        <f aca="false">IF(H12&lt;&gt;"",H12-$B$3,"")</f>
        <v/>
      </c>
      <c r="J12" s="33"/>
      <c r="K12" s="30"/>
      <c r="L12" s="30"/>
      <c r="M12" s="34"/>
      <c r="N12" s="35"/>
      <c r="O12" s="30"/>
      <c r="P12" s="29"/>
      <c r="Q12" s="36" t="str">
        <f aca="false">IF(J12&lt;&gt;"",J12-IF(N12&lt;&gt;"",N12,0),"")</f>
        <v/>
      </c>
    </row>
    <row r="13" customFormat="false" ht="18" hidden="false" customHeight="true" outlineLevel="0" collapsed="false">
      <c r="A13" s="37" t="n">
        <v>6</v>
      </c>
      <c r="B13" s="38"/>
      <c r="C13" s="39"/>
      <c r="D13" s="38"/>
      <c r="E13" s="39"/>
      <c r="F13" s="38"/>
      <c r="G13" s="40"/>
      <c r="H13" s="40"/>
      <c r="I13" s="32" t="str">
        <f aca="false">IF(H13&lt;&gt;"",H13-$B$3,"")</f>
        <v/>
      </c>
      <c r="J13" s="33"/>
      <c r="K13" s="39"/>
      <c r="L13" s="39"/>
      <c r="M13" s="34"/>
      <c r="N13" s="35"/>
      <c r="O13" s="39"/>
      <c r="P13" s="38"/>
      <c r="Q13" s="36" t="str">
        <f aca="false">IF(J13&lt;&gt;"",J13-IF(N13&lt;&gt;"",N13,0),"")</f>
        <v/>
      </c>
    </row>
    <row r="14" customFormat="false" ht="18" hidden="false" customHeight="true" outlineLevel="0" collapsed="false">
      <c r="A14" s="28" t="n">
        <v>7</v>
      </c>
      <c r="B14" s="29"/>
      <c r="C14" s="30"/>
      <c r="D14" s="29"/>
      <c r="E14" s="30"/>
      <c r="F14" s="29"/>
      <c r="G14" s="31"/>
      <c r="H14" s="31"/>
      <c r="I14" s="32" t="str">
        <f aca="false">IF(H14&lt;&gt;"",H14-$B$3,"")</f>
        <v/>
      </c>
      <c r="J14" s="33"/>
      <c r="K14" s="30"/>
      <c r="L14" s="30"/>
      <c r="M14" s="34"/>
      <c r="N14" s="35"/>
      <c r="O14" s="30"/>
      <c r="P14" s="29"/>
      <c r="Q14" s="36" t="str">
        <f aca="false">IF(J14&lt;&gt;"",J14-IF(N14&lt;&gt;"",N14,0),"")</f>
        <v/>
      </c>
    </row>
    <row r="15" customFormat="false" ht="18" hidden="false" customHeight="true" outlineLevel="0" collapsed="false">
      <c r="A15" s="37" t="n">
        <v>8</v>
      </c>
      <c r="B15" s="38"/>
      <c r="C15" s="39"/>
      <c r="D15" s="38"/>
      <c r="E15" s="39"/>
      <c r="F15" s="38"/>
      <c r="G15" s="40"/>
      <c r="H15" s="40"/>
      <c r="I15" s="32" t="str">
        <f aca="false">IF(H15&lt;&gt;"",H15-$B$3,"")</f>
        <v/>
      </c>
      <c r="J15" s="33"/>
      <c r="K15" s="39"/>
      <c r="L15" s="39"/>
      <c r="M15" s="34"/>
      <c r="N15" s="35"/>
      <c r="O15" s="39"/>
      <c r="P15" s="38"/>
      <c r="Q15" s="36" t="str">
        <f aca="false">IF(J15&lt;&gt;"",J15-IF(N15&lt;&gt;"",N15,0),"")</f>
        <v/>
      </c>
    </row>
    <row r="16" customFormat="false" ht="18" hidden="false" customHeight="true" outlineLevel="0" collapsed="false">
      <c r="A16" s="28" t="n">
        <v>9</v>
      </c>
      <c r="B16" s="29"/>
      <c r="C16" s="30"/>
      <c r="D16" s="29"/>
      <c r="E16" s="30"/>
      <c r="F16" s="29"/>
      <c r="G16" s="31"/>
      <c r="H16" s="31"/>
      <c r="I16" s="32" t="str">
        <f aca="false">IF(H16&lt;&gt;"",H16-$B$3,"")</f>
        <v/>
      </c>
      <c r="J16" s="33"/>
      <c r="K16" s="30"/>
      <c r="L16" s="30"/>
      <c r="M16" s="34"/>
      <c r="N16" s="35"/>
      <c r="O16" s="30"/>
      <c r="P16" s="29"/>
      <c r="Q16" s="36" t="str">
        <f aca="false">IF(J16&lt;&gt;"",J16-IF(N16&lt;&gt;"",N16,0),"")</f>
        <v/>
      </c>
    </row>
    <row r="17" customFormat="false" ht="18" hidden="false" customHeight="true" outlineLevel="0" collapsed="false">
      <c r="A17" s="37" t="n">
        <v>10</v>
      </c>
      <c r="B17" s="38"/>
      <c r="C17" s="39"/>
      <c r="D17" s="38"/>
      <c r="E17" s="39"/>
      <c r="F17" s="38"/>
      <c r="G17" s="40"/>
      <c r="H17" s="40"/>
      <c r="I17" s="32" t="str">
        <f aca="false">IF(H17&lt;&gt;"",H17-$B$3,"")</f>
        <v/>
      </c>
      <c r="J17" s="33"/>
      <c r="K17" s="39"/>
      <c r="L17" s="39"/>
      <c r="M17" s="34"/>
      <c r="N17" s="35"/>
      <c r="O17" s="39"/>
      <c r="P17" s="38"/>
      <c r="Q17" s="36" t="str">
        <f aca="false">IF(J17&lt;&gt;"",J17-IF(N17&lt;&gt;"",N17,0),"")</f>
        <v/>
      </c>
    </row>
    <row r="18" customFormat="false" ht="18" hidden="false" customHeight="true" outlineLevel="0" collapsed="false">
      <c r="A18" s="28" t="n">
        <v>11</v>
      </c>
      <c r="B18" s="29"/>
      <c r="C18" s="30"/>
      <c r="D18" s="29"/>
      <c r="E18" s="30"/>
      <c r="F18" s="29"/>
      <c r="G18" s="31"/>
      <c r="H18" s="31"/>
      <c r="I18" s="32" t="str">
        <f aca="false">IF(H18&lt;&gt;"",H18-$B$3,"")</f>
        <v/>
      </c>
      <c r="J18" s="33"/>
      <c r="K18" s="30"/>
      <c r="L18" s="30"/>
      <c r="M18" s="34"/>
      <c r="N18" s="35"/>
      <c r="O18" s="30"/>
      <c r="P18" s="29"/>
      <c r="Q18" s="36" t="str">
        <f aca="false">IF(J18&lt;&gt;"",J18-IF(N18&lt;&gt;"",N18,0),"")</f>
        <v/>
      </c>
    </row>
    <row r="19" customFormat="false" ht="18" hidden="false" customHeight="true" outlineLevel="0" collapsed="false">
      <c r="A19" s="37" t="n">
        <v>12</v>
      </c>
      <c r="B19" s="38"/>
      <c r="C19" s="39"/>
      <c r="D19" s="38"/>
      <c r="E19" s="39"/>
      <c r="F19" s="38"/>
      <c r="G19" s="40"/>
      <c r="H19" s="40"/>
      <c r="I19" s="32" t="str">
        <f aca="false">IF(H19&lt;&gt;"",H19-$B$3,"")</f>
        <v/>
      </c>
      <c r="J19" s="33"/>
      <c r="K19" s="39"/>
      <c r="L19" s="39"/>
      <c r="M19" s="34"/>
      <c r="N19" s="35"/>
      <c r="O19" s="39"/>
      <c r="P19" s="38"/>
      <c r="Q19" s="36" t="str">
        <f aca="false">IF(J19&lt;&gt;"",J19-IF(N19&lt;&gt;"",N19,0),"")</f>
        <v/>
      </c>
    </row>
    <row r="20" customFormat="false" ht="18" hidden="false" customHeight="true" outlineLevel="0" collapsed="false">
      <c r="A20" s="28" t="n">
        <v>13</v>
      </c>
      <c r="B20" s="29"/>
      <c r="C20" s="30"/>
      <c r="D20" s="29"/>
      <c r="E20" s="30"/>
      <c r="F20" s="29"/>
      <c r="G20" s="31"/>
      <c r="H20" s="31"/>
      <c r="I20" s="32" t="str">
        <f aca="false">IF(H20&lt;&gt;"",H20-$B$3,"")</f>
        <v/>
      </c>
      <c r="J20" s="33"/>
      <c r="K20" s="30"/>
      <c r="L20" s="30"/>
      <c r="M20" s="34"/>
      <c r="N20" s="35"/>
      <c r="O20" s="30"/>
      <c r="P20" s="29"/>
      <c r="Q20" s="36" t="str">
        <f aca="false">IF(J20&lt;&gt;"",J20-IF(N20&lt;&gt;"",N20,0),"")</f>
        <v/>
      </c>
    </row>
    <row r="21" customFormat="false" ht="18" hidden="false" customHeight="true" outlineLevel="0" collapsed="false">
      <c r="A21" s="37" t="n">
        <v>14</v>
      </c>
      <c r="B21" s="38"/>
      <c r="C21" s="39"/>
      <c r="D21" s="38"/>
      <c r="E21" s="39"/>
      <c r="F21" s="38"/>
      <c r="G21" s="40"/>
      <c r="H21" s="40"/>
      <c r="I21" s="32" t="str">
        <f aca="false">IF(H21&lt;&gt;"",H21-$B$3,"")</f>
        <v/>
      </c>
      <c r="J21" s="33"/>
      <c r="K21" s="39"/>
      <c r="L21" s="39"/>
      <c r="M21" s="34"/>
      <c r="N21" s="35"/>
      <c r="O21" s="39"/>
      <c r="P21" s="38"/>
      <c r="Q21" s="36" t="str">
        <f aca="false">IF(J21&lt;&gt;"",J21-IF(N21&lt;&gt;"",N21,0),"")</f>
        <v/>
      </c>
    </row>
    <row r="22" customFormat="false" ht="18" hidden="false" customHeight="true" outlineLevel="0" collapsed="false">
      <c r="A22" s="28" t="n">
        <v>15</v>
      </c>
      <c r="B22" s="29"/>
      <c r="C22" s="30"/>
      <c r="D22" s="29"/>
      <c r="E22" s="30"/>
      <c r="F22" s="29"/>
      <c r="G22" s="31"/>
      <c r="H22" s="31"/>
      <c r="I22" s="32" t="str">
        <f aca="false">IF(H22&lt;&gt;"",H22-$B$3,"")</f>
        <v/>
      </c>
      <c r="J22" s="33"/>
      <c r="K22" s="30"/>
      <c r="L22" s="30"/>
      <c r="M22" s="34"/>
      <c r="N22" s="35"/>
      <c r="O22" s="30"/>
      <c r="P22" s="29"/>
      <c r="Q22" s="36" t="str">
        <f aca="false">IF(J22&lt;&gt;"",J22-IF(N22&lt;&gt;"",N22,0),"")</f>
        <v/>
      </c>
    </row>
    <row r="23" customFormat="false" ht="18" hidden="false" customHeight="true" outlineLevel="0" collapsed="false">
      <c r="A23" s="37" t="n">
        <v>16</v>
      </c>
      <c r="B23" s="38"/>
      <c r="C23" s="39"/>
      <c r="D23" s="38"/>
      <c r="E23" s="39"/>
      <c r="F23" s="38"/>
      <c r="G23" s="40"/>
      <c r="H23" s="40"/>
      <c r="I23" s="32" t="str">
        <f aca="false">IF(H23&lt;&gt;"",H23-$B$3,"")</f>
        <v/>
      </c>
      <c r="J23" s="33"/>
      <c r="K23" s="39"/>
      <c r="L23" s="39"/>
      <c r="M23" s="34"/>
      <c r="N23" s="35"/>
      <c r="O23" s="39"/>
      <c r="P23" s="38"/>
      <c r="Q23" s="36" t="str">
        <f aca="false">IF(J23&lt;&gt;"",J23-IF(N23&lt;&gt;"",N23,0),"")</f>
        <v/>
      </c>
    </row>
    <row r="24" customFormat="false" ht="18" hidden="false" customHeight="true" outlineLevel="0" collapsed="false">
      <c r="A24" s="28" t="n">
        <v>17</v>
      </c>
      <c r="B24" s="29"/>
      <c r="C24" s="30"/>
      <c r="D24" s="29"/>
      <c r="E24" s="30"/>
      <c r="F24" s="29"/>
      <c r="G24" s="31"/>
      <c r="H24" s="31"/>
      <c r="I24" s="32" t="str">
        <f aca="false">IF(H24&lt;&gt;"",H24-$B$3,"")</f>
        <v/>
      </c>
      <c r="J24" s="33"/>
      <c r="K24" s="30"/>
      <c r="L24" s="30"/>
      <c r="M24" s="34"/>
      <c r="N24" s="35"/>
      <c r="O24" s="30"/>
      <c r="P24" s="29"/>
      <c r="Q24" s="36" t="str">
        <f aca="false">IF(J24&lt;&gt;"",J24-IF(N24&lt;&gt;"",N24,0),"")</f>
        <v/>
      </c>
    </row>
    <row r="25" customFormat="false" ht="18" hidden="false" customHeight="true" outlineLevel="0" collapsed="false">
      <c r="A25" s="37" t="n">
        <v>18</v>
      </c>
      <c r="B25" s="38"/>
      <c r="C25" s="39"/>
      <c r="D25" s="38"/>
      <c r="E25" s="39"/>
      <c r="F25" s="38"/>
      <c r="G25" s="40"/>
      <c r="H25" s="40"/>
      <c r="I25" s="32" t="str">
        <f aca="false">IF(H25&lt;&gt;"",H25-$B$3,"")</f>
        <v/>
      </c>
      <c r="J25" s="33"/>
      <c r="K25" s="39"/>
      <c r="L25" s="39"/>
      <c r="M25" s="34"/>
      <c r="N25" s="35"/>
      <c r="O25" s="39"/>
      <c r="P25" s="38"/>
      <c r="Q25" s="36" t="str">
        <f aca="false">IF(J25&lt;&gt;"",J25-IF(N25&lt;&gt;"",N25,0),"")</f>
        <v/>
      </c>
    </row>
    <row r="26" customFormat="false" ht="18" hidden="false" customHeight="true" outlineLevel="0" collapsed="false">
      <c r="A26" s="28" t="n">
        <v>19</v>
      </c>
      <c r="B26" s="29"/>
      <c r="C26" s="30"/>
      <c r="D26" s="29"/>
      <c r="E26" s="30"/>
      <c r="F26" s="29"/>
      <c r="G26" s="31"/>
      <c r="H26" s="31"/>
      <c r="I26" s="32" t="str">
        <f aca="false">IF(H26&lt;&gt;"",H26-$B$3,"")</f>
        <v/>
      </c>
      <c r="J26" s="33"/>
      <c r="K26" s="30"/>
      <c r="L26" s="30"/>
      <c r="M26" s="34"/>
      <c r="N26" s="35"/>
      <c r="O26" s="30"/>
      <c r="P26" s="29"/>
      <c r="Q26" s="36" t="str">
        <f aca="false">IF(J26&lt;&gt;"",J26-IF(N26&lt;&gt;"",N26,0),"")</f>
        <v/>
      </c>
    </row>
    <row r="27" customFormat="false" ht="18" hidden="false" customHeight="true" outlineLevel="0" collapsed="false">
      <c r="A27" s="37" t="n">
        <v>20</v>
      </c>
      <c r="B27" s="38"/>
      <c r="C27" s="39"/>
      <c r="D27" s="38"/>
      <c r="E27" s="39"/>
      <c r="F27" s="38"/>
      <c r="G27" s="40"/>
      <c r="H27" s="40"/>
      <c r="I27" s="32" t="str">
        <f aca="false">IF(H27&lt;&gt;"",H27-$B$3,"")</f>
        <v/>
      </c>
      <c r="J27" s="33"/>
      <c r="K27" s="39"/>
      <c r="L27" s="39"/>
      <c r="M27" s="34"/>
      <c r="N27" s="35"/>
      <c r="O27" s="39"/>
      <c r="P27" s="38"/>
      <c r="Q27" s="36" t="str">
        <f aca="false">IF(J27&lt;&gt;"",J27-IF(N27&lt;&gt;"",N27,0),"")</f>
        <v/>
      </c>
    </row>
    <row r="28" customFormat="false" ht="18" hidden="false" customHeight="true" outlineLevel="0" collapsed="false">
      <c r="A28" s="28" t="n">
        <v>21</v>
      </c>
      <c r="B28" s="29"/>
      <c r="C28" s="30"/>
      <c r="D28" s="29"/>
      <c r="E28" s="30"/>
      <c r="F28" s="29"/>
      <c r="G28" s="31"/>
      <c r="H28" s="31"/>
      <c r="I28" s="32" t="str">
        <f aca="false">IF(H28&lt;&gt;"",H28-$B$3,"")</f>
        <v/>
      </c>
      <c r="J28" s="33"/>
      <c r="K28" s="30"/>
      <c r="L28" s="30"/>
      <c r="M28" s="34"/>
      <c r="N28" s="35"/>
      <c r="O28" s="30"/>
      <c r="P28" s="29"/>
      <c r="Q28" s="36" t="str">
        <f aca="false">IF(J28&lt;&gt;"",J28-IF(N28&lt;&gt;"",N28,0),"")</f>
        <v/>
      </c>
    </row>
    <row r="29" customFormat="false" ht="18" hidden="false" customHeight="true" outlineLevel="0" collapsed="false">
      <c r="A29" s="37" t="n">
        <v>22</v>
      </c>
      <c r="B29" s="38"/>
      <c r="C29" s="39"/>
      <c r="D29" s="38"/>
      <c r="E29" s="39"/>
      <c r="F29" s="38"/>
      <c r="G29" s="40"/>
      <c r="H29" s="40"/>
      <c r="I29" s="32" t="str">
        <f aca="false">IF(H29&lt;&gt;"",H29-$B$3,"")</f>
        <v/>
      </c>
      <c r="J29" s="33"/>
      <c r="K29" s="39"/>
      <c r="L29" s="39"/>
      <c r="M29" s="34"/>
      <c r="N29" s="35"/>
      <c r="O29" s="39"/>
      <c r="P29" s="38"/>
      <c r="Q29" s="36" t="str">
        <f aca="false">IF(J29&lt;&gt;"",J29-IF(N29&lt;&gt;"",N29,0),"")</f>
        <v/>
      </c>
    </row>
    <row r="30" customFormat="false" ht="18" hidden="false" customHeight="true" outlineLevel="0" collapsed="false">
      <c r="A30" s="28" t="n">
        <v>23</v>
      </c>
      <c r="B30" s="29"/>
      <c r="C30" s="30"/>
      <c r="D30" s="29"/>
      <c r="E30" s="30"/>
      <c r="F30" s="29"/>
      <c r="G30" s="31"/>
      <c r="H30" s="31"/>
      <c r="I30" s="32" t="str">
        <f aca="false">IF(H30&lt;&gt;"",H30-$B$3,"")</f>
        <v/>
      </c>
      <c r="J30" s="33"/>
      <c r="K30" s="30"/>
      <c r="L30" s="30"/>
      <c r="M30" s="34"/>
      <c r="N30" s="35"/>
      <c r="O30" s="30"/>
      <c r="P30" s="29"/>
      <c r="Q30" s="36" t="str">
        <f aca="false">IF(J30&lt;&gt;"",J30-IF(N30&lt;&gt;"",N30,0),"")</f>
        <v/>
      </c>
    </row>
    <row r="31" customFormat="false" ht="18" hidden="false" customHeight="true" outlineLevel="0" collapsed="false">
      <c r="A31" s="37" t="n">
        <v>24</v>
      </c>
      <c r="B31" s="38"/>
      <c r="C31" s="39"/>
      <c r="D31" s="38"/>
      <c r="E31" s="39"/>
      <c r="F31" s="38"/>
      <c r="G31" s="40"/>
      <c r="H31" s="40"/>
      <c r="I31" s="32" t="str">
        <f aca="false">IF(H31&lt;&gt;"",H31-$B$3,"")</f>
        <v/>
      </c>
      <c r="J31" s="33"/>
      <c r="K31" s="39"/>
      <c r="L31" s="39"/>
      <c r="M31" s="34"/>
      <c r="N31" s="35"/>
      <c r="O31" s="39"/>
      <c r="P31" s="38"/>
      <c r="Q31" s="36" t="str">
        <f aca="false">IF(J31&lt;&gt;"",J31-IF(N31&lt;&gt;"",N31,0),"")</f>
        <v/>
      </c>
    </row>
    <row r="32" customFormat="false" ht="18" hidden="false" customHeight="true" outlineLevel="0" collapsed="false">
      <c r="A32" s="28" t="n">
        <v>25</v>
      </c>
      <c r="B32" s="29"/>
      <c r="C32" s="30"/>
      <c r="D32" s="29"/>
      <c r="E32" s="30"/>
      <c r="F32" s="29"/>
      <c r="G32" s="31"/>
      <c r="H32" s="31"/>
      <c r="I32" s="32" t="str">
        <f aca="false">IF(H32&lt;&gt;"",H32-$B$3,"")</f>
        <v/>
      </c>
      <c r="J32" s="33"/>
      <c r="K32" s="30"/>
      <c r="L32" s="30"/>
      <c r="M32" s="34"/>
      <c r="N32" s="35"/>
      <c r="O32" s="30"/>
      <c r="P32" s="29"/>
      <c r="Q32" s="36" t="str">
        <f aca="false">IF(J32&lt;&gt;"",J32-IF(N32&lt;&gt;"",N32,0),"")</f>
        <v/>
      </c>
    </row>
    <row r="33" customFormat="false" ht="18" hidden="false" customHeight="true" outlineLevel="0" collapsed="false">
      <c r="A33" s="37" t="n">
        <v>26</v>
      </c>
      <c r="B33" s="38"/>
      <c r="C33" s="39"/>
      <c r="D33" s="38"/>
      <c r="E33" s="39"/>
      <c r="F33" s="38"/>
      <c r="G33" s="40"/>
      <c r="H33" s="40"/>
      <c r="I33" s="32" t="str">
        <f aca="false">IF(H33&lt;&gt;"",H33-$B$3,"")</f>
        <v/>
      </c>
      <c r="J33" s="33"/>
      <c r="K33" s="39"/>
      <c r="L33" s="39"/>
      <c r="M33" s="34"/>
      <c r="N33" s="35"/>
      <c r="O33" s="39"/>
      <c r="P33" s="38"/>
      <c r="Q33" s="36" t="str">
        <f aca="false">IF(J33&lt;&gt;"",J33-IF(N33&lt;&gt;"",N33,0),"")</f>
        <v/>
      </c>
    </row>
    <row r="34" customFormat="false" ht="18" hidden="false" customHeight="true" outlineLevel="0" collapsed="false">
      <c r="A34" s="28" t="n">
        <v>27</v>
      </c>
      <c r="B34" s="29"/>
      <c r="C34" s="30"/>
      <c r="D34" s="29"/>
      <c r="E34" s="30"/>
      <c r="F34" s="29"/>
      <c r="G34" s="31"/>
      <c r="H34" s="31"/>
      <c r="I34" s="32" t="str">
        <f aca="false">IF(H34&lt;&gt;"",H34-$B$3,"")</f>
        <v/>
      </c>
      <c r="J34" s="33"/>
      <c r="K34" s="30"/>
      <c r="L34" s="30"/>
      <c r="M34" s="34"/>
      <c r="N34" s="35"/>
      <c r="O34" s="30"/>
      <c r="P34" s="29"/>
      <c r="Q34" s="36" t="str">
        <f aca="false">IF(J34&lt;&gt;"",J34-IF(N34&lt;&gt;"",N34,0),"")</f>
        <v/>
      </c>
    </row>
    <row r="35" customFormat="false" ht="18" hidden="false" customHeight="true" outlineLevel="0" collapsed="false">
      <c r="A35" s="37" t="n">
        <v>28</v>
      </c>
      <c r="B35" s="38"/>
      <c r="C35" s="39"/>
      <c r="D35" s="38"/>
      <c r="E35" s="39"/>
      <c r="F35" s="38"/>
      <c r="G35" s="40"/>
      <c r="H35" s="40"/>
      <c r="I35" s="32" t="str">
        <f aca="false">IF(H35&lt;&gt;"",H35-$B$3,"")</f>
        <v/>
      </c>
      <c r="J35" s="33"/>
      <c r="K35" s="39"/>
      <c r="L35" s="39"/>
      <c r="M35" s="34"/>
      <c r="N35" s="35"/>
      <c r="O35" s="39"/>
      <c r="P35" s="38"/>
      <c r="Q35" s="36" t="str">
        <f aca="false">IF(J35&lt;&gt;"",J35-IF(N35&lt;&gt;"",N35,0),"")</f>
        <v/>
      </c>
    </row>
    <row r="36" customFormat="false" ht="18" hidden="false" customHeight="true" outlineLevel="0" collapsed="false">
      <c r="A36" s="28" t="n">
        <v>29</v>
      </c>
      <c r="B36" s="29"/>
      <c r="C36" s="30"/>
      <c r="D36" s="29"/>
      <c r="E36" s="30"/>
      <c r="F36" s="29"/>
      <c r="G36" s="31"/>
      <c r="H36" s="31"/>
      <c r="I36" s="32" t="str">
        <f aca="false">IF(H36&lt;&gt;"",H36-$B$3,"")</f>
        <v/>
      </c>
      <c r="J36" s="33"/>
      <c r="K36" s="30"/>
      <c r="L36" s="30"/>
      <c r="M36" s="34"/>
      <c r="N36" s="35"/>
      <c r="O36" s="30"/>
      <c r="P36" s="29"/>
      <c r="Q36" s="36" t="str">
        <f aca="false">IF(J36&lt;&gt;"",J36-IF(N36&lt;&gt;"",N36,0),"")</f>
        <v/>
      </c>
    </row>
    <row r="37" customFormat="false" ht="18" hidden="false" customHeight="true" outlineLevel="0" collapsed="false">
      <c r="A37" s="37" t="n">
        <v>30</v>
      </c>
      <c r="B37" s="38"/>
      <c r="C37" s="39"/>
      <c r="D37" s="38"/>
      <c r="E37" s="39"/>
      <c r="F37" s="38"/>
      <c r="G37" s="40"/>
      <c r="H37" s="40"/>
      <c r="I37" s="32" t="str">
        <f aca="false">IF(H37&lt;&gt;"",H37-$B$3,"")</f>
        <v/>
      </c>
      <c r="J37" s="33"/>
      <c r="K37" s="39"/>
      <c r="L37" s="39"/>
      <c r="M37" s="34"/>
      <c r="N37" s="35"/>
      <c r="O37" s="39"/>
      <c r="P37" s="38"/>
      <c r="Q37" s="36" t="str">
        <f aca="false">IF(J37&lt;&gt;"",J37-IF(N37&lt;&gt;"",N37,0),"")</f>
        <v/>
      </c>
    </row>
    <row r="38" customFormat="false" ht="18" hidden="false" customHeight="true" outlineLevel="0" collapsed="false">
      <c r="A38" s="28" t="n">
        <v>31</v>
      </c>
      <c r="B38" s="29"/>
      <c r="C38" s="30"/>
      <c r="D38" s="29"/>
      <c r="E38" s="30"/>
      <c r="F38" s="29"/>
      <c r="G38" s="31"/>
      <c r="H38" s="31"/>
      <c r="I38" s="32" t="str">
        <f aca="false">IF(H38&lt;&gt;"",H38-$B$3,"")</f>
        <v/>
      </c>
      <c r="J38" s="33"/>
      <c r="K38" s="30"/>
      <c r="L38" s="30"/>
      <c r="M38" s="34"/>
      <c r="N38" s="35"/>
      <c r="O38" s="30"/>
      <c r="P38" s="29"/>
      <c r="Q38" s="36" t="str">
        <f aca="false">IF(J38&lt;&gt;"",J38-IF(N38&lt;&gt;"",N38,0),"")</f>
        <v/>
      </c>
    </row>
    <row r="39" customFormat="false" ht="18" hidden="false" customHeight="true" outlineLevel="0" collapsed="false">
      <c r="A39" s="37" t="n">
        <v>32</v>
      </c>
      <c r="B39" s="38"/>
      <c r="C39" s="39"/>
      <c r="D39" s="38"/>
      <c r="E39" s="39"/>
      <c r="F39" s="38"/>
      <c r="G39" s="40"/>
      <c r="H39" s="40"/>
      <c r="I39" s="32" t="str">
        <f aca="false">IF(H39&lt;&gt;"",H39-$B$3,"")</f>
        <v/>
      </c>
      <c r="J39" s="33"/>
      <c r="K39" s="39"/>
      <c r="L39" s="39"/>
      <c r="M39" s="34"/>
      <c r="N39" s="35"/>
      <c r="O39" s="39"/>
      <c r="P39" s="38"/>
      <c r="Q39" s="36" t="str">
        <f aca="false">IF(J39&lt;&gt;"",J39-IF(N39&lt;&gt;"",N39,0),"")</f>
        <v/>
      </c>
    </row>
    <row r="40" customFormat="false" ht="18" hidden="false" customHeight="true" outlineLevel="0" collapsed="false">
      <c r="A40" s="28" t="n">
        <v>33</v>
      </c>
      <c r="B40" s="29"/>
      <c r="C40" s="30"/>
      <c r="D40" s="29"/>
      <c r="E40" s="30"/>
      <c r="F40" s="29"/>
      <c r="G40" s="31"/>
      <c r="H40" s="31"/>
      <c r="I40" s="32" t="str">
        <f aca="false">IF(H40&lt;&gt;"",H40-$B$3,"")</f>
        <v/>
      </c>
      <c r="J40" s="33"/>
      <c r="K40" s="30"/>
      <c r="L40" s="30"/>
      <c r="M40" s="34"/>
      <c r="N40" s="35"/>
      <c r="O40" s="30"/>
      <c r="P40" s="29"/>
      <c r="Q40" s="36" t="str">
        <f aca="false">IF(J40&lt;&gt;"",J40-IF(N40&lt;&gt;"",N40,0),"")</f>
        <v/>
      </c>
    </row>
    <row r="41" customFormat="false" ht="18" hidden="false" customHeight="true" outlineLevel="0" collapsed="false">
      <c r="A41" s="37" t="n">
        <v>34</v>
      </c>
      <c r="B41" s="38"/>
      <c r="C41" s="39"/>
      <c r="D41" s="38"/>
      <c r="E41" s="39"/>
      <c r="F41" s="38"/>
      <c r="G41" s="40"/>
      <c r="H41" s="40"/>
      <c r="I41" s="32" t="str">
        <f aca="false">IF(H41&lt;&gt;"",H41-$B$3,"")</f>
        <v/>
      </c>
      <c r="J41" s="33"/>
      <c r="K41" s="39"/>
      <c r="L41" s="39"/>
      <c r="M41" s="34"/>
      <c r="N41" s="35"/>
      <c r="O41" s="39"/>
      <c r="P41" s="38"/>
      <c r="Q41" s="36" t="str">
        <f aca="false">IF(J41&lt;&gt;"",J41-IF(N41&lt;&gt;"",N41,0),"")</f>
        <v/>
      </c>
    </row>
    <row r="42" customFormat="false" ht="18" hidden="false" customHeight="true" outlineLevel="0" collapsed="false">
      <c r="A42" s="28" t="n">
        <v>35</v>
      </c>
      <c r="B42" s="29"/>
      <c r="C42" s="30"/>
      <c r="D42" s="29"/>
      <c r="E42" s="30"/>
      <c r="F42" s="29"/>
      <c r="G42" s="31"/>
      <c r="H42" s="31"/>
      <c r="I42" s="32" t="str">
        <f aca="false">IF(H42&lt;&gt;"",H42-$B$3,"")</f>
        <v/>
      </c>
      <c r="J42" s="33"/>
      <c r="K42" s="30"/>
      <c r="L42" s="30"/>
      <c r="M42" s="34"/>
      <c r="N42" s="35"/>
      <c r="O42" s="30"/>
      <c r="P42" s="29"/>
      <c r="Q42" s="36" t="str">
        <f aca="false">IF(J42&lt;&gt;"",J42-IF(N42&lt;&gt;"",N42,0),"")</f>
        <v/>
      </c>
    </row>
    <row r="43" customFormat="false" ht="18" hidden="false" customHeight="true" outlineLevel="0" collapsed="false">
      <c r="A43" s="37" t="n">
        <v>36</v>
      </c>
      <c r="B43" s="38"/>
      <c r="C43" s="39"/>
      <c r="D43" s="38"/>
      <c r="E43" s="39"/>
      <c r="F43" s="38"/>
      <c r="G43" s="40"/>
      <c r="H43" s="40"/>
      <c r="I43" s="32" t="str">
        <f aca="false">IF(H43&lt;&gt;"",H43-$B$3,"")</f>
        <v/>
      </c>
      <c r="J43" s="33"/>
      <c r="K43" s="39"/>
      <c r="L43" s="39"/>
      <c r="M43" s="34"/>
      <c r="N43" s="35"/>
      <c r="O43" s="39"/>
      <c r="P43" s="38"/>
      <c r="Q43" s="36" t="str">
        <f aca="false">IF(J43&lt;&gt;"",J43-IF(N43&lt;&gt;"",N43,0),"")</f>
        <v/>
      </c>
    </row>
    <row r="44" customFormat="false" ht="18" hidden="false" customHeight="true" outlineLevel="0" collapsed="false">
      <c r="A44" s="28" t="n">
        <v>37</v>
      </c>
      <c r="B44" s="29"/>
      <c r="C44" s="30"/>
      <c r="D44" s="29"/>
      <c r="E44" s="30"/>
      <c r="F44" s="29"/>
      <c r="G44" s="31"/>
      <c r="H44" s="31"/>
      <c r="I44" s="32" t="str">
        <f aca="false">IF(H44&lt;&gt;"",H44-$B$3,"")</f>
        <v/>
      </c>
      <c r="J44" s="33"/>
      <c r="K44" s="30"/>
      <c r="L44" s="30"/>
      <c r="M44" s="34"/>
      <c r="N44" s="35"/>
      <c r="O44" s="30"/>
      <c r="P44" s="29"/>
      <c r="Q44" s="36" t="str">
        <f aca="false">IF(J44&lt;&gt;"",J44-IF(N44&lt;&gt;"",N44,0),"")</f>
        <v/>
      </c>
    </row>
    <row r="45" customFormat="false" ht="18" hidden="false" customHeight="true" outlineLevel="0" collapsed="false">
      <c r="A45" s="37" t="n">
        <v>38</v>
      </c>
      <c r="B45" s="38"/>
      <c r="C45" s="39"/>
      <c r="D45" s="38"/>
      <c r="E45" s="39"/>
      <c r="F45" s="38"/>
      <c r="G45" s="40"/>
      <c r="H45" s="40"/>
      <c r="I45" s="32" t="str">
        <f aca="false">IF(H45&lt;&gt;"",H45-$B$3,"")</f>
        <v/>
      </c>
      <c r="J45" s="33"/>
      <c r="K45" s="39"/>
      <c r="L45" s="39"/>
      <c r="M45" s="34"/>
      <c r="N45" s="35"/>
      <c r="O45" s="39"/>
      <c r="P45" s="38"/>
      <c r="Q45" s="36" t="str">
        <f aca="false">IF(J45&lt;&gt;"",J45-IF(N45&lt;&gt;"",N45,0),"")</f>
        <v/>
      </c>
    </row>
    <row r="46" customFormat="false" ht="18" hidden="false" customHeight="true" outlineLevel="0" collapsed="false">
      <c r="A46" s="28" t="n">
        <v>39</v>
      </c>
      <c r="B46" s="29"/>
      <c r="C46" s="30"/>
      <c r="D46" s="29"/>
      <c r="E46" s="30"/>
      <c r="F46" s="29"/>
      <c r="G46" s="31"/>
      <c r="H46" s="31"/>
      <c r="I46" s="32" t="str">
        <f aca="false">IF(H46&lt;&gt;"",H46-$B$3,"")</f>
        <v/>
      </c>
      <c r="J46" s="33"/>
      <c r="K46" s="30"/>
      <c r="L46" s="30"/>
      <c r="M46" s="34"/>
      <c r="N46" s="35"/>
      <c r="O46" s="30"/>
      <c r="P46" s="29"/>
      <c r="Q46" s="36" t="str">
        <f aca="false">IF(J46&lt;&gt;"",J46-IF(N46&lt;&gt;"",N46,0),"")</f>
        <v/>
      </c>
    </row>
    <row r="47" customFormat="false" ht="18" hidden="false" customHeight="true" outlineLevel="0" collapsed="false">
      <c r="A47" s="37" t="n">
        <v>40</v>
      </c>
      <c r="B47" s="38"/>
      <c r="C47" s="39"/>
      <c r="D47" s="38"/>
      <c r="E47" s="39"/>
      <c r="F47" s="38"/>
      <c r="G47" s="40"/>
      <c r="H47" s="40"/>
      <c r="I47" s="32" t="str">
        <f aca="false">IF(H47&lt;&gt;"",H47-$B$3,"")</f>
        <v/>
      </c>
      <c r="J47" s="33"/>
      <c r="K47" s="39"/>
      <c r="L47" s="39"/>
      <c r="M47" s="34"/>
      <c r="N47" s="35"/>
      <c r="O47" s="39"/>
      <c r="P47" s="38"/>
      <c r="Q47" s="36" t="str">
        <f aca="false">IF(J47&lt;&gt;"",J47-IF(N47&lt;&gt;"",N47,0),"")</f>
        <v/>
      </c>
    </row>
    <row r="48" customFormat="false" ht="18" hidden="false" customHeight="true" outlineLevel="0" collapsed="false">
      <c r="A48" s="28" t="n">
        <v>41</v>
      </c>
      <c r="B48" s="29"/>
      <c r="C48" s="30"/>
      <c r="D48" s="29"/>
      <c r="E48" s="30"/>
      <c r="F48" s="29"/>
      <c r="G48" s="31"/>
      <c r="H48" s="31"/>
      <c r="I48" s="32" t="str">
        <f aca="false">IF(H48&lt;&gt;"",H48-$B$3,"")</f>
        <v/>
      </c>
      <c r="J48" s="33"/>
      <c r="K48" s="30"/>
      <c r="L48" s="30"/>
      <c r="M48" s="34"/>
      <c r="N48" s="35"/>
      <c r="O48" s="30"/>
      <c r="P48" s="29"/>
      <c r="Q48" s="36" t="str">
        <f aca="false">IF(J48&lt;&gt;"",J48-IF(N48&lt;&gt;"",N48,0),"")</f>
        <v/>
      </c>
    </row>
    <row r="49" customFormat="false" ht="18" hidden="false" customHeight="true" outlineLevel="0" collapsed="false">
      <c r="A49" s="37" t="n">
        <v>42</v>
      </c>
      <c r="B49" s="38"/>
      <c r="C49" s="39"/>
      <c r="D49" s="38"/>
      <c r="E49" s="39"/>
      <c r="F49" s="38"/>
      <c r="G49" s="40"/>
      <c r="H49" s="40"/>
      <c r="I49" s="32" t="str">
        <f aca="false">IF(H49&lt;&gt;"",H49-$B$3,"")</f>
        <v/>
      </c>
      <c r="J49" s="33"/>
      <c r="K49" s="39"/>
      <c r="L49" s="39"/>
      <c r="M49" s="34"/>
      <c r="N49" s="35"/>
      <c r="O49" s="39"/>
      <c r="P49" s="38"/>
      <c r="Q49" s="36" t="str">
        <f aca="false">IF(J49&lt;&gt;"",J49-IF(N49&lt;&gt;"",N49,0),"")</f>
        <v/>
      </c>
    </row>
    <row r="50" customFormat="false" ht="18" hidden="false" customHeight="true" outlineLevel="0" collapsed="false">
      <c r="A50" s="28" t="n">
        <v>43</v>
      </c>
      <c r="B50" s="29"/>
      <c r="C50" s="30"/>
      <c r="D50" s="29"/>
      <c r="E50" s="30"/>
      <c r="F50" s="29"/>
      <c r="G50" s="31"/>
      <c r="H50" s="31"/>
      <c r="I50" s="32" t="str">
        <f aca="false">IF(H50&lt;&gt;"",H50-$B$3,"")</f>
        <v/>
      </c>
      <c r="J50" s="33"/>
      <c r="K50" s="30"/>
      <c r="L50" s="30"/>
      <c r="M50" s="34"/>
      <c r="N50" s="35"/>
      <c r="O50" s="30"/>
      <c r="P50" s="29"/>
      <c r="Q50" s="36" t="str">
        <f aca="false">IF(J50&lt;&gt;"",J50-IF(N50&lt;&gt;"",N50,0),"")</f>
        <v/>
      </c>
    </row>
    <row r="51" customFormat="false" ht="18" hidden="false" customHeight="true" outlineLevel="0" collapsed="false">
      <c r="A51" s="37" t="n">
        <v>44</v>
      </c>
      <c r="B51" s="38"/>
      <c r="C51" s="39"/>
      <c r="D51" s="38"/>
      <c r="E51" s="39"/>
      <c r="F51" s="38"/>
      <c r="G51" s="40"/>
      <c r="H51" s="40"/>
      <c r="I51" s="32" t="str">
        <f aca="false">IF(H51&lt;&gt;"",H51-$B$3,"")</f>
        <v/>
      </c>
      <c r="J51" s="33"/>
      <c r="K51" s="39"/>
      <c r="L51" s="39"/>
      <c r="M51" s="34"/>
      <c r="N51" s="35"/>
      <c r="O51" s="39"/>
      <c r="P51" s="38"/>
      <c r="Q51" s="36" t="str">
        <f aca="false">IF(J51&lt;&gt;"",J51-IF(N51&lt;&gt;"",N51,0),"")</f>
        <v/>
      </c>
    </row>
    <row r="52" customFormat="false" ht="18" hidden="false" customHeight="true" outlineLevel="0" collapsed="false">
      <c r="A52" s="28" t="n">
        <v>45</v>
      </c>
      <c r="B52" s="29"/>
      <c r="C52" s="30"/>
      <c r="D52" s="29"/>
      <c r="E52" s="30"/>
      <c r="F52" s="29"/>
      <c r="G52" s="31"/>
      <c r="H52" s="31"/>
      <c r="I52" s="32" t="str">
        <f aca="false">IF(H52&lt;&gt;"",H52-$B$3,"")</f>
        <v/>
      </c>
      <c r="J52" s="33"/>
      <c r="K52" s="30"/>
      <c r="L52" s="30"/>
      <c r="M52" s="34"/>
      <c r="N52" s="35"/>
      <c r="O52" s="30"/>
      <c r="P52" s="29"/>
      <c r="Q52" s="36" t="str">
        <f aca="false">IF(J52&lt;&gt;"",J52-IF(N52&lt;&gt;"",N52,0),"")</f>
        <v/>
      </c>
    </row>
    <row r="53" customFormat="false" ht="18" hidden="false" customHeight="true" outlineLevel="0" collapsed="false">
      <c r="A53" s="37" t="n">
        <v>46</v>
      </c>
      <c r="B53" s="38"/>
      <c r="C53" s="39"/>
      <c r="D53" s="38"/>
      <c r="E53" s="39"/>
      <c r="F53" s="38"/>
      <c r="G53" s="40"/>
      <c r="H53" s="40"/>
      <c r="I53" s="32" t="str">
        <f aca="false">IF(H53&lt;&gt;"",H53-$B$3,"")</f>
        <v/>
      </c>
      <c r="J53" s="33"/>
      <c r="K53" s="39"/>
      <c r="L53" s="39"/>
      <c r="M53" s="34"/>
      <c r="N53" s="35"/>
      <c r="O53" s="39"/>
      <c r="P53" s="38"/>
      <c r="Q53" s="36" t="str">
        <f aca="false">IF(J53&lt;&gt;"",J53-IF(N53&lt;&gt;"",N53,0),"")</f>
        <v/>
      </c>
    </row>
    <row r="54" customFormat="false" ht="18" hidden="false" customHeight="true" outlineLevel="0" collapsed="false">
      <c r="A54" s="28" t="n">
        <v>47</v>
      </c>
      <c r="B54" s="29"/>
      <c r="C54" s="30"/>
      <c r="D54" s="29"/>
      <c r="E54" s="30"/>
      <c r="F54" s="29"/>
      <c r="G54" s="31"/>
      <c r="H54" s="31"/>
      <c r="I54" s="32" t="str">
        <f aca="false">IF(H54&lt;&gt;"",H54-$B$3,"")</f>
        <v/>
      </c>
      <c r="J54" s="33"/>
      <c r="K54" s="30"/>
      <c r="L54" s="30"/>
      <c r="M54" s="34"/>
      <c r="N54" s="35"/>
      <c r="O54" s="30"/>
      <c r="P54" s="29"/>
      <c r="Q54" s="36" t="str">
        <f aca="false">IF(J54&lt;&gt;"",J54-IF(N54&lt;&gt;"",N54,0),"")</f>
        <v/>
      </c>
    </row>
    <row r="55" customFormat="false" ht="18" hidden="false" customHeight="true" outlineLevel="0" collapsed="false">
      <c r="A55" s="37" t="n">
        <v>48</v>
      </c>
      <c r="B55" s="38"/>
      <c r="C55" s="39"/>
      <c r="D55" s="38"/>
      <c r="E55" s="39"/>
      <c r="F55" s="38"/>
      <c r="G55" s="40"/>
      <c r="H55" s="40"/>
      <c r="I55" s="32" t="str">
        <f aca="false">IF(H55&lt;&gt;"",H55-$B$3,"")</f>
        <v/>
      </c>
      <c r="J55" s="33"/>
      <c r="K55" s="39"/>
      <c r="L55" s="39"/>
      <c r="M55" s="34"/>
      <c r="N55" s="35"/>
      <c r="O55" s="39"/>
      <c r="P55" s="38"/>
      <c r="Q55" s="36" t="str">
        <f aca="false">IF(J55&lt;&gt;"",J55-IF(N55&lt;&gt;"",N55,0),"")</f>
        <v/>
      </c>
    </row>
    <row r="56" customFormat="false" ht="18" hidden="false" customHeight="true" outlineLevel="0" collapsed="false">
      <c r="A56" s="28" t="n">
        <v>49</v>
      </c>
      <c r="B56" s="29"/>
      <c r="C56" s="30"/>
      <c r="D56" s="29"/>
      <c r="E56" s="30"/>
      <c r="F56" s="29"/>
      <c r="G56" s="31"/>
      <c r="H56" s="31"/>
      <c r="I56" s="32" t="str">
        <f aca="false">IF(H56&lt;&gt;"",H56-$B$3,"")</f>
        <v/>
      </c>
      <c r="J56" s="33"/>
      <c r="K56" s="30"/>
      <c r="L56" s="30"/>
      <c r="M56" s="34"/>
      <c r="N56" s="35"/>
      <c r="O56" s="30"/>
      <c r="P56" s="29"/>
      <c r="Q56" s="36" t="str">
        <f aca="false">IF(J56&lt;&gt;"",J56-IF(N56&lt;&gt;"",N56,0),"")</f>
        <v/>
      </c>
    </row>
    <row r="57" customFormat="false" ht="18" hidden="false" customHeight="true" outlineLevel="0" collapsed="false">
      <c r="A57" s="37" t="n">
        <v>50</v>
      </c>
      <c r="B57" s="38"/>
      <c r="C57" s="39"/>
      <c r="D57" s="38"/>
      <c r="E57" s="39"/>
      <c r="F57" s="38"/>
      <c r="G57" s="40"/>
      <c r="H57" s="40"/>
      <c r="I57" s="32" t="str">
        <f aca="false">IF(H57&lt;&gt;"",H57-$B$3,"")</f>
        <v/>
      </c>
      <c r="J57" s="33"/>
      <c r="K57" s="39"/>
      <c r="L57" s="39"/>
      <c r="M57" s="34"/>
      <c r="N57" s="35"/>
      <c r="O57" s="39"/>
      <c r="P57" s="38"/>
      <c r="Q57" s="36" t="str">
        <f aca="false">IF(J57&lt;&gt;"",J57-IF(N57&lt;&gt;"",N57,0),"")</f>
        <v/>
      </c>
    </row>
    <row r="58" customFormat="false" ht="21.75" hidden="false" customHeight="true" outlineLevel="0" collapsed="false">
      <c r="A58" s="41" t="s">
        <v>38</v>
      </c>
      <c r="B58" s="41"/>
      <c r="C58" s="41"/>
      <c r="D58" s="41"/>
      <c r="E58" s="41"/>
      <c r="F58" s="41"/>
      <c r="G58" s="41"/>
      <c r="H58" s="41"/>
      <c r="I58" s="41"/>
      <c r="J58" s="42" t="n">
        <f aca="false">SUM(J8:J57)</f>
        <v>0</v>
      </c>
      <c r="N58" s="42" t="n">
        <f aca="false">SUM(N8:N57)</f>
        <v>0</v>
      </c>
      <c r="Q58" s="42" t="n">
        <f aca="false">SUM(Q8:Q57)</f>
        <v>0</v>
      </c>
    </row>
    <row r="60" customFormat="false" ht="21.75" hidden="false" customHeight="true" outlineLevel="0" collapsed="false">
      <c r="A60" s="43" t="s">
        <v>39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</row>
  </sheetData>
  <sheetProtection sheet="true" password="df0a"/>
  <mergeCells count="10">
    <mergeCell ref="A1:Q1"/>
    <mergeCell ref="M3:N3"/>
    <mergeCell ref="A5:Q5"/>
    <mergeCell ref="A6:B6"/>
    <mergeCell ref="C6:E6"/>
    <mergeCell ref="F6:H6"/>
    <mergeCell ref="K6:L6"/>
    <mergeCell ref="M6:N6"/>
    <mergeCell ref="A58:I58"/>
    <mergeCell ref="A60:Q60"/>
  </mergeCells>
  <conditionalFormatting sqref="K8:K57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"Important"</formula>
    </cfRule>
    <cfRule type="cellIs" priority="4" operator="equal" aboveAverage="0" equalAverage="0" bottom="0" percent="0" rank="0" text="" dxfId="2">
      <formula>"Flexible"</formula>
    </cfRule>
  </conditionalFormatting>
  <conditionalFormatting sqref="L8:L57">
    <cfRule type="cellIs" priority="5" operator="equal" aboveAverage="0" equalAverage="0" bottom="0" percent="0" rank="0" text="" dxfId="0">
      <formula>"Unpaid"</formula>
    </cfRule>
    <cfRule type="cellIs" priority="6" operator="equal" aboveAverage="0" equalAverage="0" bottom="0" percent="0" rank="0" text="" dxfId="3">
      <formula>"Scheduled"</formula>
    </cfRule>
    <cfRule type="cellIs" priority="7" operator="equal" aboveAverage="0" equalAverage="0" bottom="0" percent="0" rank="0" text="" dxfId="2">
      <formula>"Paid"</formula>
    </cfRule>
    <cfRule type="cellIs" priority="8" operator="equal" aboveAverage="0" equalAverage="0" bottom="0" percent="0" rank="0" text="" dxfId="4">
      <formula>"On Hold"</formula>
    </cfRule>
  </conditionalFormatting>
  <conditionalFormatting sqref="I8:I57">
    <cfRule type="cellIs" priority="9" operator="lessThan" aboveAverage="0" equalAverage="0" bottom="0" percent="0" rank="0" text="" dxfId="0">
      <formula>0</formula>
    </cfRule>
    <cfRule type="cellIs" priority="10" operator="between" aboveAverage="0" equalAverage="0" bottom="0" percent="0" rank="0" text="" dxfId="3">
      <formula>0</formula>
      <formula>7</formula>
    </cfRule>
  </conditionalFormatting>
  <conditionalFormatting sqref="O8:O57">
    <cfRule type="cellIs" priority="11" operator="equal" aboveAverage="0" equalAverage="0" bottom="0" percent="0" rank="0" text="" dxfId="4">
      <formula>"Delay"</formula>
    </cfRule>
    <cfRule type="cellIs" priority="12" operator="equal" aboveAverage="0" equalAverage="0" bottom="0" percent="0" rank="0" text="" dxfId="2">
      <formula>"Pay This Week"</formula>
    </cfRule>
    <cfRule type="cellIs" priority="13" operator="equal" aboveAverage="0" equalAverage="0" bottom="0" percent="0" rank="0" text="" dxfId="0">
      <formula>"Hold"</formula>
    </cfRule>
  </conditionalFormatting>
  <conditionalFormatting sqref="A8:Q8">
    <cfRule type="expression" priority="14" aboveAverage="0" equalAverage="0" bottom="0" percent="0" rank="0" text="" dxfId="5">
      <formula>AND($L8="Unpaid",$H8&lt;&gt;"",$H8&lt;$B$3)</formula>
    </cfRule>
  </conditionalFormatting>
  <conditionalFormatting sqref="A9:Q9">
    <cfRule type="expression" priority="15" aboveAverage="0" equalAverage="0" bottom="0" percent="0" rank="0" text="" dxfId="5">
      <formula>AND($L9="Unpaid",$H9&lt;&gt;"",$H9&lt;$B$3)</formula>
    </cfRule>
  </conditionalFormatting>
  <conditionalFormatting sqref="A10:Q10">
    <cfRule type="expression" priority="16" aboveAverage="0" equalAverage="0" bottom="0" percent="0" rank="0" text="" dxfId="5">
      <formula>AND($L10="Unpaid",$H10&lt;&gt;"",$H10&lt;$B$3)</formula>
    </cfRule>
  </conditionalFormatting>
  <conditionalFormatting sqref="A11:Q11">
    <cfRule type="expression" priority="17" aboveAverage="0" equalAverage="0" bottom="0" percent="0" rank="0" text="" dxfId="5">
      <formula>AND($L11="Unpaid",$H11&lt;&gt;"",$H11&lt;$B$3)</formula>
    </cfRule>
  </conditionalFormatting>
  <conditionalFormatting sqref="A12:Q12">
    <cfRule type="expression" priority="18" aboveAverage="0" equalAverage="0" bottom="0" percent="0" rank="0" text="" dxfId="5">
      <formula>AND($L12="Unpaid",$H12&lt;&gt;"",$H12&lt;$B$3)</formula>
    </cfRule>
  </conditionalFormatting>
  <conditionalFormatting sqref="A13:Q13">
    <cfRule type="expression" priority="19" aboveAverage="0" equalAverage="0" bottom="0" percent="0" rank="0" text="" dxfId="5">
      <formula>AND($L13="Unpaid",$H13&lt;&gt;"",$H13&lt;$B$3)</formula>
    </cfRule>
  </conditionalFormatting>
  <conditionalFormatting sqref="A14:Q14">
    <cfRule type="expression" priority="20" aboveAverage="0" equalAverage="0" bottom="0" percent="0" rank="0" text="" dxfId="5">
      <formula>AND($L14="Unpaid",$H14&lt;&gt;"",$H14&lt;$B$3)</formula>
    </cfRule>
  </conditionalFormatting>
  <conditionalFormatting sqref="A15:Q15">
    <cfRule type="expression" priority="21" aboveAverage="0" equalAverage="0" bottom="0" percent="0" rank="0" text="" dxfId="5">
      <formula>AND($L15="Unpaid",$H15&lt;&gt;"",$H15&lt;$B$3)</formula>
    </cfRule>
  </conditionalFormatting>
  <conditionalFormatting sqref="A16:Q16">
    <cfRule type="expression" priority="22" aboveAverage="0" equalAverage="0" bottom="0" percent="0" rank="0" text="" dxfId="5">
      <formula>AND($L16="Unpaid",$H16&lt;&gt;"",$H16&lt;$B$3)</formula>
    </cfRule>
  </conditionalFormatting>
  <conditionalFormatting sqref="A17:Q17">
    <cfRule type="expression" priority="23" aboveAverage="0" equalAverage="0" bottom="0" percent="0" rank="0" text="" dxfId="5">
      <formula>AND($L17="Unpaid",$H17&lt;&gt;"",$H17&lt;$B$3)</formula>
    </cfRule>
  </conditionalFormatting>
  <conditionalFormatting sqref="A18:Q18">
    <cfRule type="expression" priority="24" aboveAverage="0" equalAverage="0" bottom="0" percent="0" rank="0" text="" dxfId="5">
      <formula>AND($L18="Unpaid",$H18&lt;&gt;"",$H18&lt;$B$3)</formula>
    </cfRule>
  </conditionalFormatting>
  <conditionalFormatting sqref="A19:Q19">
    <cfRule type="expression" priority="25" aboveAverage="0" equalAverage="0" bottom="0" percent="0" rank="0" text="" dxfId="5">
      <formula>AND($L19="Unpaid",$H19&lt;&gt;"",$H19&lt;$B$3)</formula>
    </cfRule>
  </conditionalFormatting>
  <conditionalFormatting sqref="A20:Q20">
    <cfRule type="expression" priority="26" aboveAverage="0" equalAverage="0" bottom="0" percent="0" rank="0" text="" dxfId="5">
      <formula>AND($L20="Unpaid",$H20&lt;&gt;"",$H20&lt;$B$3)</formula>
    </cfRule>
  </conditionalFormatting>
  <conditionalFormatting sqref="A21:Q21">
    <cfRule type="expression" priority="27" aboveAverage="0" equalAverage="0" bottom="0" percent="0" rank="0" text="" dxfId="5">
      <formula>AND($L21="Unpaid",$H21&lt;&gt;"",$H21&lt;$B$3)</formula>
    </cfRule>
  </conditionalFormatting>
  <conditionalFormatting sqref="A22:Q22">
    <cfRule type="expression" priority="28" aboveAverage="0" equalAverage="0" bottom="0" percent="0" rank="0" text="" dxfId="5">
      <formula>AND($L22="Unpaid",$H22&lt;&gt;"",$H22&lt;$B$3)</formula>
    </cfRule>
  </conditionalFormatting>
  <conditionalFormatting sqref="A23:Q23">
    <cfRule type="expression" priority="29" aboveAverage="0" equalAverage="0" bottom="0" percent="0" rank="0" text="" dxfId="5">
      <formula>AND($L23="Unpaid",$H23&lt;&gt;"",$H23&lt;$B$3)</formula>
    </cfRule>
  </conditionalFormatting>
  <conditionalFormatting sqref="A24:Q24">
    <cfRule type="expression" priority="30" aboveAverage="0" equalAverage="0" bottom="0" percent="0" rank="0" text="" dxfId="5">
      <formula>AND($L24="Unpaid",$H24&lt;&gt;"",$H24&lt;$B$3)</formula>
    </cfRule>
  </conditionalFormatting>
  <conditionalFormatting sqref="A25:Q25">
    <cfRule type="expression" priority="31" aboveAverage="0" equalAverage="0" bottom="0" percent="0" rank="0" text="" dxfId="5">
      <formula>AND($L25="Unpaid",$H25&lt;&gt;"",$H25&lt;$B$3)</formula>
    </cfRule>
  </conditionalFormatting>
  <conditionalFormatting sqref="A26:Q26">
    <cfRule type="expression" priority="32" aboveAverage="0" equalAverage="0" bottom="0" percent="0" rank="0" text="" dxfId="5">
      <formula>AND($L26="Unpaid",$H26&lt;&gt;"",$H26&lt;$B$3)</formula>
    </cfRule>
  </conditionalFormatting>
  <conditionalFormatting sqref="A27:Q27">
    <cfRule type="expression" priority="33" aboveAverage="0" equalAverage="0" bottom="0" percent="0" rank="0" text="" dxfId="5">
      <formula>AND($L27="Unpaid",$H27&lt;&gt;"",$H27&lt;$B$3)</formula>
    </cfRule>
  </conditionalFormatting>
  <conditionalFormatting sqref="A28:Q28">
    <cfRule type="expression" priority="34" aboveAverage="0" equalAverage="0" bottom="0" percent="0" rank="0" text="" dxfId="5">
      <formula>AND($L28="Unpaid",$H28&lt;&gt;"",$H28&lt;$B$3)</formula>
    </cfRule>
  </conditionalFormatting>
  <conditionalFormatting sqref="A29:Q29">
    <cfRule type="expression" priority="35" aboveAverage="0" equalAverage="0" bottom="0" percent="0" rank="0" text="" dxfId="5">
      <formula>AND($L29="Unpaid",$H29&lt;&gt;"",$H29&lt;$B$3)</formula>
    </cfRule>
  </conditionalFormatting>
  <conditionalFormatting sqref="A30:Q30">
    <cfRule type="expression" priority="36" aboveAverage="0" equalAverage="0" bottom="0" percent="0" rank="0" text="" dxfId="5">
      <formula>AND($L30="Unpaid",$H30&lt;&gt;"",$H30&lt;$B$3)</formula>
    </cfRule>
  </conditionalFormatting>
  <conditionalFormatting sqref="A31:Q31">
    <cfRule type="expression" priority="37" aboveAverage="0" equalAverage="0" bottom="0" percent="0" rank="0" text="" dxfId="5">
      <formula>AND($L31="Unpaid",$H31&lt;&gt;"",$H31&lt;$B$3)</formula>
    </cfRule>
  </conditionalFormatting>
  <conditionalFormatting sqref="A32:Q32">
    <cfRule type="expression" priority="38" aboveAverage="0" equalAverage="0" bottom="0" percent="0" rank="0" text="" dxfId="5">
      <formula>AND($L32="Unpaid",$H32&lt;&gt;"",$H32&lt;$B$3)</formula>
    </cfRule>
  </conditionalFormatting>
  <conditionalFormatting sqref="A33:Q33">
    <cfRule type="expression" priority="39" aboveAverage="0" equalAverage="0" bottom="0" percent="0" rank="0" text="" dxfId="5">
      <formula>AND($L33="Unpaid",$H33&lt;&gt;"",$H33&lt;$B$3)</formula>
    </cfRule>
  </conditionalFormatting>
  <conditionalFormatting sqref="A34:Q34">
    <cfRule type="expression" priority="40" aboveAverage="0" equalAverage="0" bottom="0" percent="0" rank="0" text="" dxfId="5">
      <formula>AND($L34="Unpaid",$H34&lt;&gt;"",$H34&lt;$B$3)</formula>
    </cfRule>
  </conditionalFormatting>
  <conditionalFormatting sqref="A35:Q35">
    <cfRule type="expression" priority="41" aboveAverage="0" equalAverage="0" bottom="0" percent="0" rank="0" text="" dxfId="5">
      <formula>AND($L35="Unpaid",$H35&lt;&gt;"",$H35&lt;$B$3)</formula>
    </cfRule>
  </conditionalFormatting>
  <conditionalFormatting sqref="A36:Q36">
    <cfRule type="expression" priority="42" aboveAverage="0" equalAverage="0" bottom="0" percent="0" rank="0" text="" dxfId="5">
      <formula>AND($L36="Unpaid",$H36&lt;&gt;"",$H36&lt;$B$3)</formula>
    </cfRule>
  </conditionalFormatting>
  <conditionalFormatting sqref="A37:Q37">
    <cfRule type="expression" priority="43" aboveAverage="0" equalAverage="0" bottom="0" percent="0" rank="0" text="" dxfId="5">
      <formula>AND($L37="Unpaid",$H37&lt;&gt;"",$H37&lt;$B$3)</formula>
    </cfRule>
  </conditionalFormatting>
  <conditionalFormatting sqref="A38:Q38">
    <cfRule type="expression" priority="44" aboveAverage="0" equalAverage="0" bottom="0" percent="0" rank="0" text="" dxfId="5">
      <formula>AND($L38="Unpaid",$H38&lt;&gt;"",$H38&lt;$B$3)</formula>
    </cfRule>
  </conditionalFormatting>
  <conditionalFormatting sqref="A39:Q39">
    <cfRule type="expression" priority="45" aboveAverage="0" equalAverage="0" bottom="0" percent="0" rank="0" text="" dxfId="5">
      <formula>AND($L39="Unpaid",$H39&lt;&gt;"",$H39&lt;$B$3)</formula>
    </cfRule>
  </conditionalFormatting>
  <conditionalFormatting sqref="A40:Q40">
    <cfRule type="expression" priority="46" aboveAverage="0" equalAverage="0" bottom="0" percent="0" rank="0" text="" dxfId="5">
      <formula>AND($L40="Unpaid",$H40&lt;&gt;"",$H40&lt;$B$3)</formula>
    </cfRule>
  </conditionalFormatting>
  <conditionalFormatting sqref="A41:Q41">
    <cfRule type="expression" priority="47" aboveAverage="0" equalAverage="0" bottom="0" percent="0" rank="0" text="" dxfId="5">
      <formula>AND($L41="Unpaid",$H41&lt;&gt;"",$H41&lt;$B$3)</formula>
    </cfRule>
  </conditionalFormatting>
  <conditionalFormatting sqref="A42:Q42">
    <cfRule type="expression" priority="48" aboveAverage="0" equalAverage="0" bottom="0" percent="0" rank="0" text="" dxfId="5">
      <formula>AND($L42="Unpaid",$H42&lt;&gt;"",$H42&lt;$B$3)</formula>
    </cfRule>
  </conditionalFormatting>
  <conditionalFormatting sqref="A43:Q43">
    <cfRule type="expression" priority="49" aboveAverage="0" equalAverage="0" bottom="0" percent="0" rank="0" text="" dxfId="5">
      <formula>AND($L43="Unpaid",$H43&lt;&gt;"",$H43&lt;$B$3)</formula>
    </cfRule>
  </conditionalFormatting>
  <conditionalFormatting sqref="A44:Q44">
    <cfRule type="expression" priority="50" aboveAverage="0" equalAverage="0" bottom="0" percent="0" rank="0" text="" dxfId="5">
      <formula>AND($L44="Unpaid",$H44&lt;&gt;"",$H44&lt;$B$3)</formula>
    </cfRule>
  </conditionalFormatting>
  <conditionalFormatting sqref="A45:Q45">
    <cfRule type="expression" priority="51" aboveAverage="0" equalAverage="0" bottom="0" percent="0" rank="0" text="" dxfId="5">
      <formula>AND($L45="Unpaid",$H45&lt;&gt;"",$H45&lt;$B$3)</formula>
    </cfRule>
  </conditionalFormatting>
  <conditionalFormatting sqref="A46:Q46">
    <cfRule type="expression" priority="52" aboveAverage="0" equalAverage="0" bottom="0" percent="0" rank="0" text="" dxfId="5">
      <formula>AND($L46="Unpaid",$H46&lt;&gt;"",$H46&lt;$B$3)</formula>
    </cfRule>
  </conditionalFormatting>
  <conditionalFormatting sqref="A47:Q47">
    <cfRule type="expression" priority="53" aboveAverage="0" equalAverage="0" bottom="0" percent="0" rank="0" text="" dxfId="5">
      <formula>AND($L47="Unpaid",$H47&lt;&gt;"",$H47&lt;$B$3)</formula>
    </cfRule>
  </conditionalFormatting>
  <conditionalFormatting sqref="A48:Q48">
    <cfRule type="expression" priority="54" aboveAverage="0" equalAverage="0" bottom="0" percent="0" rank="0" text="" dxfId="5">
      <formula>AND($L48="Unpaid",$H48&lt;&gt;"",$H48&lt;$B$3)</formula>
    </cfRule>
  </conditionalFormatting>
  <conditionalFormatting sqref="A49:Q49">
    <cfRule type="expression" priority="55" aboveAverage="0" equalAverage="0" bottom="0" percent="0" rank="0" text="" dxfId="5">
      <formula>AND($L49="Unpaid",$H49&lt;&gt;"",$H49&lt;$B$3)</formula>
    </cfRule>
  </conditionalFormatting>
  <conditionalFormatting sqref="A50:Q50">
    <cfRule type="expression" priority="56" aboveAverage="0" equalAverage="0" bottom="0" percent="0" rank="0" text="" dxfId="5">
      <formula>AND($L50="Unpaid",$H50&lt;&gt;"",$H50&lt;$B$3)</formula>
    </cfRule>
  </conditionalFormatting>
  <conditionalFormatting sqref="A51:Q51">
    <cfRule type="expression" priority="57" aboveAverage="0" equalAverage="0" bottom="0" percent="0" rank="0" text="" dxfId="5">
      <formula>AND($L51="Unpaid",$H51&lt;&gt;"",$H51&lt;$B$3)</formula>
    </cfRule>
  </conditionalFormatting>
  <conditionalFormatting sqref="A52:Q52">
    <cfRule type="expression" priority="58" aboveAverage="0" equalAverage="0" bottom="0" percent="0" rank="0" text="" dxfId="5">
      <formula>AND($L52="Unpaid",$H52&lt;&gt;"",$H52&lt;$B$3)</formula>
    </cfRule>
  </conditionalFormatting>
  <conditionalFormatting sqref="A53:Q53">
    <cfRule type="expression" priority="59" aboveAverage="0" equalAverage="0" bottom="0" percent="0" rank="0" text="" dxfId="5">
      <formula>AND($L53="Unpaid",$H53&lt;&gt;"",$H53&lt;$B$3)</formula>
    </cfRule>
  </conditionalFormatting>
  <conditionalFormatting sqref="A54:Q54">
    <cfRule type="expression" priority="60" aboveAverage="0" equalAverage="0" bottom="0" percent="0" rank="0" text="" dxfId="5">
      <formula>AND($L54="Unpaid",$H54&lt;&gt;"",$H54&lt;$B$3)</formula>
    </cfRule>
  </conditionalFormatting>
  <conditionalFormatting sqref="A55:Q55">
    <cfRule type="expression" priority="61" aboveAverage="0" equalAverage="0" bottom="0" percent="0" rank="0" text="" dxfId="5">
      <formula>AND($L55="Unpaid",$H55&lt;&gt;"",$H55&lt;$B$3)</formula>
    </cfRule>
  </conditionalFormatting>
  <conditionalFormatting sqref="A56:Q56">
    <cfRule type="expression" priority="62" aboveAverage="0" equalAverage="0" bottom="0" percent="0" rank="0" text="" dxfId="5">
      <formula>AND($L56="Unpaid",$H56&lt;&gt;"",$H56&lt;$B$3)</formula>
    </cfRule>
  </conditionalFormatting>
  <conditionalFormatting sqref="A57:Q57">
    <cfRule type="expression" priority="63" aboveAverage="0" equalAverage="0" bottom="0" percent="0" rank="0" text="" dxfId="5">
      <formula>AND($L57="Unpaid",$H57&lt;&gt;"",$H57&lt;$B$3)</formula>
    </cfRule>
  </conditionalFormatting>
  <dataValidations count="4">
    <dataValidation allowBlank="true" errorStyle="stop" operator="between" showDropDown="false" showErrorMessage="true" showInputMessage="false" sqref="C8:C57" type="list">
      <formula1>"Payroll / Labor,Subcontractor,Materials,Equipment Rental,Overhead,Loan / LOC,Owner Draw,Permits / Fees,Insurance,Utilities,Other"</formula1>
      <formula2>0</formula2>
    </dataValidation>
    <dataValidation allowBlank="true" errorStyle="stop" operator="between" showDropDown="false" showErrorMessage="true" showInputMessage="false" sqref="K8:K57" type="list">
      <formula1>"Critical,Important,Flexible"</formula1>
      <formula2>0</formula2>
    </dataValidation>
    <dataValidation allowBlank="true" errorStyle="stop" operator="between" showDropDown="false" showErrorMessage="true" showInputMessage="false" sqref="L8:L57" type="list">
      <formula1>"Unpaid,Scheduled,Paid,On Hold"</formula1>
      <formula2>0</formula2>
    </dataValidation>
    <dataValidation allowBlank="true" errorStyle="stop" operator="between" showDropDown="false" showErrorMessage="true" showInputMessage="false" sqref="O8:O57" type="list">
      <formula1>"Delay,Pay This Week,Hold"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"/>
    <col collapsed="false" customWidth="true" hidden="false" outlineLevel="0" max="10" min="3" style="0" width="14"/>
  </cols>
  <sheetData>
    <row r="1" customFormat="false" ht="36" hidden="false" customHeight="tru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3"/>
      <c r="D2" s="2" t="s">
        <v>41</v>
      </c>
      <c r="E2" s="3"/>
      <c r="G2" s="2" t="s">
        <v>42</v>
      </c>
      <c r="H2" s="3"/>
      <c r="I2" s="2" t="s">
        <v>2</v>
      </c>
      <c r="J2" s="3"/>
    </row>
    <row r="4" customFormat="false" ht="18" hidden="false" customHeight="true" outlineLevel="0" collapsed="false">
      <c r="A4" s="44" t="s">
        <v>43</v>
      </c>
      <c r="B4" s="44"/>
      <c r="C4" s="23" t="s">
        <v>44</v>
      </c>
      <c r="D4" s="23" t="s">
        <v>45</v>
      </c>
      <c r="E4" s="23" t="s">
        <v>46</v>
      </c>
      <c r="F4" s="23" t="s">
        <v>47</v>
      </c>
      <c r="G4" s="23" t="s">
        <v>48</v>
      </c>
      <c r="H4" s="23" t="s">
        <v>49</v>
      </c>
      <c r="I4" s="23" t="s">
        <v>50</v>
      </c>
      <c r="J4" s="23" t="s">
        <v>51</v>
      </c>
    </row>
    <row r="5" customFormat="false" ht="18" hidden="false" customHeight="true" outlineLevel="0" collapsed="false">
      <c r="A5" s="45" t="s">
        <v>52</v>
      </c>
      <c r="B5" s="45"/>
      <c r="C5" s="46"/>
      <c r="D5" s="46"/>
      <c r="E5" s="46"/>
      <c r="F5" s="46"/>
      <c r="G5" s="46"/>
      <c r="H5" s="46"/>
      <c r="I5" s="46"/>
      <c r="J5" s="46"/>
    </row>
    <row r="6" customFormat="false" ht="21.75" hidden="false" customHeight="true" outlineLevel="0" collapsed="false">
      <c r="A6" s="47" t="s">
        <v>53</v>
      </c>
      <c r="B6" s="47"/>
      <c r="C6" s="48"/>
      <c r="D6" s="48"/>
      <c r="E6" s="48"/>
      <c r="F6" s="48"/>
      <c r="G6" s="48"/>
      <c r="H6" s="48"/>
      <c r="I6" s="48"/>
      <c r="J6" s="48"/>
    </row>
    <row r="7" customFormat="false" ht="21.75" hidden="false" customHeight="true" outlineLevel="0" collapsed="false">
      <c r="A7" s="49" t="s">
        <v>54</v>
      </c>
      <c r="B7" s="49"/>
      <c r="C7" s="48"/>
      <c r="D7" s="48"/>
      <c r="E7" s="48"/>
      <c r="F7" s="48"/>
      <c r="G7" s="48"/>
      <c r="H7" s="48"/>
      <c r="I7" s="48"/>
      <c r="J7" s="48"/>
    </row>
    <row r="8" customFormat="false" ht="6" hidden="false" customHeight="true" outlineLevel="0" collapsed="false"/>
    <row r="9" customFormat="false" ht="19.5" hidden="false" customHeight="true" outlineLevel="0" collapsed="false">
      <c r="A9" s="50" t="s">
        <v>55</v>
      </c>
      <c r="B9" s="50"/>
      <c r="C9" s="50"/>
      <c r="D9" s="50"/>
      <c r="E9" s="50"/>
      <c r="F9" s="50"/>
      <c r="G9" s="50"/>
      <c r="H9" s="50"/>
      <c r="I9" s="50"/>
      <c r="J9" s="50"/>
    </row>
    <row r="10" customFormat="false" ht="18" hidden="false" customHeight="true" outlineLevel="0" collapsed="false">
      <c r="A10" s="51" t="s">
        <v>56</v>
      </c>
      <c r="B10" s="51"/>
      <c r="C10" s="52"/>
      <c r="D10" s="52"/>
      <c r="E10" s="52"/>
      <c r="F10" s="52"/>
      <c r="G10" s="52"/>
      <c r="H10" s="52"/>
      <c r="I10" s="52"/>
      <c r="J10" s="52"/>
    </row>
    <row r="11" customFormat="false" ht="18" hidden="false" customHeight="true" outlineLevel="0" collapsed="false">
      <c r="A11" s="53" t="s">
        <v>57</v>
      </c>
      <c r="B11" s="53"/>
      <c r="C11" s="33"/>
      <c r="D11" s="33"/>
      <c r="E11" s="33"/>
      <c r="F11" s="33"/>
      <c r="G11" s="33"/>
      <c r="H11" s="33"/>
      <c r="I11" s="33"/>
      <c r="J11" s="33"/>
    </row>
    <row r="12" customFormat="false" ht="18" hidden="false" customHeight="true" outlineLevel="0" collapsed="false">
      <c r="A12" s="51" t="s">
        <v>57</v>
      </c>
      <c r="B12" s="51"/>
      <c r="C12" s="52"/>
      <c r="D12" s="52"/>
      <c r="E12" s="52"/>
      <c r="F12" s="52"/>
      <c r="G12" s="52"/>
      <c r="H12" s="52"/>
      <c r="I12" s="52"/>
      <c r="J12" s="52"/>
    </row>
    <row r="13" customFormat="false" ht="18" hidden="false" customHeight="true" outlineLevel="0" collapsed="false">
      <c r="A13" s="53" t="s">
        <v>57</v>
      </c>
      <c r="B13" s="53"/>
      <c r="C13" s="33"/>
      <c r="D13" s="33"/>
      <c r="E13" s="33"/>
      <c r="F13" s="33"/>
      <c r="G13" s="33"/>
      <c r="H13" s="33"/>
      <c r="I13" s="33"/>
      <c r="J13" s="33"/>
    </row>
    <row r="14" customFormat="false" ht="18" hidden="false" customHeight="true" outlineLevel="0" collapsed="false">
      <c r="A14" s="51" t="s">
        <v>58</v>
      </c>
      <c r="B14" s="51"/>
      <c r="C14" s="52"/>
      <c r="D14" s="52"/>
      <c r="E14" s="52"/>
      <c r="F14" s="52"/>
      <c r="G14" s="52"/>
      <c r="H14" s="52"/>
      <c r="I14" s="52"/>
      <c r="J14" s="52"/>
    </row>
    <row r="15" customFormat="false" ht="18" hidden="false" customHeight="true" outlineLevel="0" collapsed="false">
      <c r="A15" s="53" t="s">
        <v>58</v>
      </c>
      <c r="B15" s="53"/>
      <c r="C15" s="33"/>
      <c r="D15" s="33"/>
      <c r="E15" s="33"/>
      <c r="F15" s="33"/>
      <c r="G15" s="33"/>
      <c r="H15" s="33"/>
      <c r="I15" s="33"/>
      <c r="J15" s="33"/>
    </row>
    <row r="16" customFormat="false" ht="18" hidden="false" customHeight="true" outlineLevel="0" collapsed="false">
      <c r="A16" s="51" t="s">
        <v>59</v>
      </c>
      <c r="B16" s="51"/>
      <c r="C16" s="52"/>
      <c r="D16" s="52"/>
      <c r="E16" s="52"/>
      <c r="F16" s="52"/>
      <c r="G16" s="52"/>
      <c r="H16" s="52"/>
      <c r="I16" s="52"/>
      <c r="J16" s="52"/>
    </row>
    <row r="17" customFormat="false" ht="18" hidden="false" customHeight="true" outlineLevel="0" collapsed="false">
      <c r="A17" s="53" t="s">
        <v>60</v>
      </c>
      <c r="B17" s="53"/>
      <c r="C17" s="33"/>
      <c r="D17" s="33"/>
      <c r="E17" s="33"/>
      <c r="F17" s="33"/>
      <c r="G17" s="33"/>
      <c r="H17" s="33"/>
      <c r="I17" s="33"/>
      <c r="J17" s="33"/>
    </row>
    <row r="18" customFormat="false" ht="18" hidden="false" customHeight="true" outlineLevel="0" collapsed="false">
      <c r="A18" s="51" t="s">
        <v>61</v>
      </c>
      <c r="B18" s="51"/>
      <c r="C18" s="52"/>
      <c r="D18" s="52"/>
      <c r="E18" s="52"/>
      <c r="F18" s="52"/>
      <c r="G18" s="52"/>
      <c r="H18" s="52"/>
      <c r="I18" s="52"/>
      <c r="J18" s="52"/>
    </row>
    <row r="19" customFormat="false" ht="18" hidden="false" customHeight="true" outlineLevel="0" collapsed="false">
      <c r="A19" s="53" t="s">
        <v>62</v>
      </c>
      <c r="B19" s="53"/>
      <c r="C19" s="33"/>
      <c r="D19" s="33"/>
      <c r="E19" s="33"/>
      <c r="F19" s="33"/>
      <c r="G19" s="33"/>
      <c r="H19" s="33"/>
      <c r="I19" s="33"/>
      <c r="J19" s="33"/>
    </row>
    <row r="20" customFormat="false" ht="18" hidden="false" customHeight="true" outlineLevel="0" collapsed="false">
      <c r="A20" s="51" t="s">
        <v>63</v>
      </c>
      <c r="B20" s="51"/>
      <c r="C20" s="52"/>
      <c r="D20" s="52"/>
      <c r="E20" s="52"/>
      <c r="F20" s="52"/>
      <c r="G20" s="52"/>
      <c r="H20" s="52"/>
      <c r="I20" s="52"/>
      <c r="J20" s="52"/>
    </row>
    <row r="21" customFormat="false" ht="18" hidden="false" customHeight="true" outlineLevel="0" collapsed="false">
      <c r="A21" s="53" t="s">
        <v>64</v>
      </c>
      <c r="B21" s="53"/>
      <c r="C21" s="33"/>
      <c r="D21" s="33"/>
      <c r="E21" s="33"/>
      <c r="F21" s="33"/>
      <c r="G21" s="33"/>
      <c r="H21" s="33"/>
      <c r="I21" s="33"/>
      <c r="J21" s="33"/>
    </row>
    <row r="22" customFormat="false" ht="18" hidden="false" customHeight="true" outlineLevel="0" collapsed="false">
      <c r="A22" s="51" t="s">
        <v>65</v>
      </c>
      <c r="B22" s="51"/>
      <c r="C22" s="52"/>
      <c r="D22" s="52"/>
      <c r="E22" s="52"/>
      <c r="F22" s="52"/>
      <c r="G22" s="52"/>
      <c r="H22" s="52"/>
      <c r="I22" s="52"/>
      <c r="J22" s="52"/>
    </row>
    <row r="23" customFormat="false" ht="18" hidden="false" customHeight="true" outlineLevel="0" collapsed="false">
      <c r="A23" s="53" t="s">
        <v>65</v>
      </c>
      <c r="B23" s="53"/>
      <c r="C23" s="33"/>
      <c r="D23" s="33"/>
      <c r="E23" s="33"/>
      <c r="F23" s="33"/>
      <c r="G23" s="33"/>
      <c r="H23" s="33"/>
      <c r="I23" s="33"/>
      <c r="J23" s="33"/>
    </row>
    <row r="24" customFormat="false" ht="18" hidden="false" customHeight="true" outlineLevel="0" collapsed="false">
      <c r="A24" s="51" t="s">
        <v>65</v>
      </c>
      <c r="B24" s="51"/>
      <c r="C24" s="52"/>
      <c r="D24" s="52"/>
      <c r="E24" s="52"/>
      <c r="F24" s="52"/>
      <c r="G24" s="52"/>
      <c r="H24" s="52"/>
      <c r="I24" s="52"/>
      <c r="J24" s="52"/>
    </row>
    <row r="25" customFormat="false" ht="18" hidden="false" customHeight="true" outlineLevel="0" collapsed="false">
      <c r="A25" s="53" t="s">
        <v>65</v>
      </c>
      <c r="B25" s="53"/>
      <c r="C25" s="33"/>
      <c r="D25" s="33"/>
      <c r="E25" s="33"/>
      <c r="F25" s="33"/>
      <c r="G25" s="33"/>
      <c r="H25" s="33"/>
      <c r="I25" s="33"/>
      <c r="J25" s="33"/>
    </row>
    <row r="26" customFormat="false" ht="18" hidden="false" customHeight="true" outlineLevel="0" collapsed="false">
      <c r="A26" s="51" t="s">
        <v>65</v>
      </c>
      <c r="B26" s="51"/>
      <c r="C26" s="52"/>
      <c r="D26" s="52"/>
      <c r="E26" s="52"/>
      <c r="F26" s="52"/>
      <c r="G26" s="52"/>
      <c r="H26" s="52"/>
      <c r="I26" s="52"/>
      <c r="J26" s="52"/>
    </row>
    <row r="27" customFormat="false" ht="18" hidden="false" customHeight="true" outlineLevel="0" collapsed="false">
      <c r="A27" s="53" t="s">
        <v>65</v>
      </c>
      <c r="B27" s="53"/>
      <c r="C27" s="33"/>
      <c r="D27" s="33"/>
      <c r="E27" s="33"/>
      <c r="F27" s="33"/>
      <c r="G27" s="33"/>
      <c r="H27" s="33"/>
      <c r="I27" s="33"/>
      <c r="J27" s="33"/>
    </row>
    <row r="28" customFormat="false" ht="18" hidden="false" customHeight="true" outlineLevel="0" collapsed="false">
      <c r="A28" s="51" t="s">
        <v>65</v>
      </c>
      <c r="B28" s="51"/>
      <c r="C28" s="52"/>
      <c r="D28" s="52"/>
      <c r="E28" s="52"/>
      <c r="F28" s="52"/>
      <c r="G28" s="52"/>
      <c r="H28" s="52"/>
      <c r="I28" s="52"/>
      <c r="J28" s="52"/>
    </row>
    <row r="29" customFormat="false" ht="18" hidden="false" customHeight="true" outlineLevel="0" collapsed="false">
      <c r="A29" s="53" t="s">
        <v>65</v>
      </c>
      <c r="B29" s="53"/>
      <c r="C29" s="33"/>
      <c r="D29" s="33"/>
      <c r="E29" s="33"/>
      <c r="F29" s="33"/>
      <c r="G29" s="33"/>
      <c r="H29" s="33"/>
      <c r="I29" s="33"/>
      <c r="J29" s="33"/>
    </row>
    <row r="30" customFormat="false" ht="18" hidden="false" customHeight="true" outlineLevel="0" collapsed="false">
      <c r="A30" s="51" t="s">
        <v>65</v>
      </c>
      <c r="B30" s="51"/>
      <c r="C30" s="52"/>
      <c r="D30" s="52"/>
      <c r="E30" s="52"/>
      <c r="F30" s="52"/>
      <c r="G30" s="52"/>
      <c r="H30" s="52"/>
      <c r="I30" s="52"/>
      <c r="J30" s="52"/>
    </row>
    <row r="31" customFormat="false" ht="18" hidden="false" customHeight="true" outlineLevel="0" collapsed="false">
      <c r="A31" s="53" t="s">
        <v>65</v>
      </c>
      <c r="B31" s="53"/>
      <c r="C31" s="33"/>
      <c r="D31" s="33"/>
      <c r="E31" s="33"/>
      <c r="F31" s="33"/>
      <c r="G31" s="33"/>
      <c r="H31" s="33"/>
      <c r="I31" s="33"/>
      <c r="J31" s="33"/>
    </row>
    <row r="32" customFormat="false" ht="18" hidden="false" customHeight="true" outlineLevel="0" collapsed="false">
      <c r="A32" s="51" t="s">
        <v>65</v>
      </c>
      <c r="B32" s="51"/>
      <c r="C32" s="52"/>
      <c r="D32" s="52"/>
      <c r="E32" s="52"/>
      <c r="F32" s="52"/>
      <c r="G32" s="52"/>
      <c r="H32" s="52"/>
      <c r="I32" s="52"/>
      <c r="J32" s="52"/>
    </row>
    <row r="33" customFormat="false" ht="18" hidden="false" customHeight="true" outlineLevel="0" collapsed="false">
      <c r="A33" s="53" t="s">
        <v>65</v>
      </c>
      <c r="B33" s="53"/>
      <c r="C33" s="33"/>
      <c r="D33" s="33"/>
      <c r="E33" s="33"/>
      <c r="F33" s="33"/>
      <c r="G33" s="33"/>
      <c r="H33" s="33"/>
      <c r="I33" s="33"/>
      <c r="J33" s="33"/>
    </row>
    <row r="34" customFormat="false" ht="18" hidden="false" customHeight="true" outlineLevel="0" collapsed="false">
      <c r="A34" s="51" t="s">
        <v>65</v>
      </c>
      <c r="B34" s="51"/>
      <c r="C34" s="52"/>
      <c r="D34" s="52"/>
      <c r="E34" s="52"/>
      <c r="F34" s="52"/>
      <c r="G34" s="52"/>
      <c r="H34" s="52"/>
      <c r="I34" s="52"/>
      <c r="J34" s="52"/>
    </row>
    <row r="35" customFormat="false" ht="21.75" hidden="false" customHeight="true" outlineLevel="0" collapsed="false">
      <c r="A35" s="54" t="s">
        <v>66</v>
      </c>
      <c r="B35" s="54"/>
      <c r="C35" s="42" t="n">
        <f aca="false">SUM(C10:C34)</f>
        <v>0</v>
      </c>
      <c r="D35" s="42" t="n">
        <f aca="false">SUM(D10:D34)</f>
        <v>0</v>
      </c>
      <c r="E35" s="42" t="n">
        <f aca="false">SUM(E10:E34)</f>
        <v>0</v>
      </c>
      <c r="F35" s="42" t="n">
        <f aca="false">SUM(F10:F34)</f>
        <v>0</v>
      </c>
      <c r="G35" s="42" t="n">
        <f aca="false">SUM(G10:G34)</f>
        <v>0</v>
      </c>
      <c r="H35" s="42" t="n">
        <f aca="false">SUM(H10:H34)</f>
        <v>0</v>
      </c>
      <c r="I35" s="42" t="n">
        <f aca="false">SUM(I10:I34)</f>
        <v>0</v>
      </c>
      <c r="J35" s="42" t="n">
        <f aca="false">SUM(J10:J34)</f>
        <v>0</v>
      </c>
    </row>
    <row r="36" customFormat="false" ht="19.5" hidden="false" customHeight="true" outlineLevel="0" collapsed="false">
      <c r="A36" s="55" t="s">
        <v>67</v>
      </c>
      <c r="B36" s="55"/>
      <c r="C36" s="56" t="str">
        <f aca="false">IF(C6&lt;&gt;0,C35/C6,"")</f>
        <v/>
      </c>
      <c r="D36" s="56" t="str">
        <f aca="false">IF(D6&lt;&gt;0,D35/D6,"")</f>
        <v/>
      </c>
      <c r="E36" s="56" t="str">
        <f aca="false">IF(E6&lt;&gt;0,E35/E6,"")</f>
        <v/>
      </c>
      <c r="F36" s="56" t="str">
        <f aca="false">IF(F6&lt;&gt;0,F35/F6,"")</f>
        <v/>
      </c>
      <c r="G36" s="56" t="str">
        <f aca="false">IF(G6&lt;&gt;0,G35/G6,"")</f>
        <v/>
      </c>
      <c r="H36" s="56" t="str">
        <f aca="false">IF(H6&lt;&gt;0,H35/H6,"")</f>
        <v/>
      </c>
      <c r="I36" s="56" t="str">
        <f aca="false">IF(I6&lt;&gt;0,I35/I6,"")</f>
        <v/>
      </c>
      <c r="J36" s="56" t="str">
        <f aca="false">IF(J6&lt;&gt;0,J35/J6,"")</f>
        <v/>
      </c>
    </row>
    <row r="37" customFormat="false" ht="21.75" hidden="false" customHeight="true" outlineLevel="0" collapsed="false">
      <c r="A37" s="47" t="s">
        <v>68</v>
      </c>
      <c r="B37" s="47"/>
      <c r="C37" s="57" t="n">
        <f aca="false">C6-C35</f>
        <v>0</v>
      </c>
      <c r="D37" s="57" t="n">
        <f aca="false">D6-D35</f>
        <v>0</v>
      </c>
      <c r="E37" s="57" t="n">
        <f aca="false">E6-E35</f>
        <v>0</v>
      </c>
      <c r="F37" s="57" t="n">
        <f aca="false">F6-F35</f>
        <v>0</v>
      </c>
      <c r="G37" s="57" t="n">
        <f aca="false">G6-G35</f>
        <v>0</v>
      </c>
      <c r="H37" s="57" t="n">
        <f aca="false">H6-H35</f>
        <v>0</v>
      </c>
      <c r="I37" s="57" t="n">
        <f aca="false">I6-I35</f>
        <v>0</v>
      </c>
      <c r="J37" s="57" t="n">
        <f aca="false">J6-J35</f>
        <v>0</v>
      </c>
    </row>
    <row r="38" customFormat="false" ht="19.5" hidden="false" customHeight="true" outlineLevel="0" collapsed="false">
      <c r="A38" s="49" t="s">
        <v>69</v>
      </c>
      <c r="B38" s="49"/>
      <c r="C38" s="58" t="str">
        <f aca="false">IF(C7&lt;&gt;"",C7-C35,"")</f>
        <v/>
      </c>
      <c r="D38" s="58" t="str">
        <f aca="false">IF(D7&lt;&gt;"",D7-D35,"")</f>
        <v/>
      </c>
      <c r="E38" s="58" t="str">
        <f aca="false">IF(E7&lt;&gt;"",E7-E35,"")</f>
        <v/>
      </c>
      <c r="F38" s="58" t="str">
        <f aca="false">IF(F7&lt;&gt;"",F7-F35,"")</f>
        <v/>
      </c>
      <c r="G38" s="58" t="str">
        <f aca="false">IF(G7&lt;&gt;"",G7-G35,"")</f>
        <v/>
      </c>
      <c r="H38" s="58" t="str">
        <f aca="false">IF(H7&lt;&gt;"",H7-H35,"")</f>
        <v/>
      </c>
      <c r="I38" s="58" t="str">
        <f aca="false">IF(I7&lt;&gt;"",I7-I35,"")</f>
        <v/>
      </c>
      <c r="J38" s="58" t="str">
        <f aca="false">IF(J7&lt;&gt;"",J7-J35,"")</f>
        <v/>
      </c>
    </row>
    <row r="39" customFormat="false" ht="6" hidden="false" customHeight="true" outlineLevel="0" collapsed="false"/>
    <row r="40" customFormat="false" ht="19.5" hidden="false" customHeight="true" outlineLevel="0" collapsed="false">
      <c r="A40" s="59" t="s">
        <v>70</v>
      </c>
      <c r="B40" s="59"/>
      <c r="C40" s="59"/>
      <c r="D40" s="59"/>
      <c r="E40" s="59"/>
      <c r="F40" s="59"/>
      <c r="G40" s="59"/>
      <c r="H40" s="59"/>
      <c r="I40" s="59"/>
      <c r="J40" s="59"/>
    </row>
    <row r="41" customFormat="false" ht="18" hidden="false" customHeight="true" outlineLevel="0" collapsed="false">
      <c r="A41" s="60" t="s">
        <v>71</v>
      </c>
      <c r="B41" s="60"/>
      <c r="C41" s="61"/>
      <c r="D41" s="61"/>
      <c r="E41" s="61"/>
      <c r="F41" s="61"/>
      <c r="G41" s="61"/>
      <c r="H41" s="61"/>
      <c r="I41" s="61"/>
      <c r="J41" s="61"/>
    </row>
    <row r="42" customFormat="false" ht="18" hidden="false" customHeight="true" outlineLevel="0" collapsed="false">
      <c r="A42" s="62" t="s">
        <v>71</v>
      </c>
      <c r="B42" s="62"/>
      <c r="C42" s="33"/>
      <c r="D42" s="33"/>
      <c r="E42" s="33"/>
      <c r="F42" s="33"/>
      <c r="G42" s="33"/>
      <c r="H42" s="33"/>
      <c r="I42" s="33"/>
      <c r="J42" s="33"/>
    </row>
    <row r="43" customFormat="false" ht="18" hidden="false" customHeight="true" outlineLevel="0" collapsed="false">
      <c r="A43" s="60" t="s">
        <v>71</v>
      </c>
      <c r="B43" s="60"/>
      <c r="C43" s="61"/>
      <c r="D43" s="61"/>
      <c r="E43" s="61"/>
      <c r="F43" s="61"/>
      <c r="G43" s="61"/>
      <c r="H43" s="61"/>
      <c r="I43" s="61"/>
      <c r="J43" s="61"/>
    </row>
    <row r="44" customFormat="false" ht="18" hidden="false" customHeight="true" outlineLevel="0" collapsed="false">
      <c r="A44" s="62" t="s">
        <v>71</v>
      </c>
      <c r="B44" s="62"/>
      <c r="C44" s="33"/>
      <c r="D44" s="33"/>
      <c r="E44" s="33"/>
      <c r="F44" s="33"/>
      <c r="G44" s="33"/>
      <c r="H44" s="33"/>
      <c r="I44" s="33"/>
      <c r="J44" s="33"/>
    </row>
    <row r="45" customFormat="false" ht="18" hidden="false" customHeight="true" outlineLevel="0" collapsed="false">
      <c r="A45" s="60" t="s">
        <v>71</v>
      </c>
      <c r="B45" s="60"/>
      <c r="C45" s="61"/>
      <c r="D45" s="61"/>
      <c r="E45" s="61"/>
      <c r="F45" s="61"/>
      <c r="G45" s="61"/>
      <c r="H45" s="61"/>
      <c r="I45" s="61"/>
      <c r="J45" s="61"/>
    </row>
    <row r="46" customFormat="false" ht="18" hidden="false" customHeight="true" outlineLevel="0" collapsed="false">
      <c r="A46" s="62" t="s">
        <v>71</v>
      </c>
      <c r="B46" s="62"/>
      <c r="C46" s="33"/>
      <c r="D46" s="33"/>
      <c r="E46" s="33"/>
      <c r="F46" s="33"/>
      <c r="G46" s="33"/>
      <c r="H46" s="33"/>
      <c r="I46" s="33"/>
      <c r="J46" s="33"/>
    </row>
    <row r="47" customFormat="false" ht="18" hidden="false" customHeight="true" outlineLevel="0" collapsed="false">
      <c r="A47" s="60" t="s">
        <v>71</v>
      </c>
      <c r="B47" s="60"/>
      <c r="C47" s="61"/>
      <c r="D47" s="61"/>
      <c r="E47" s="61"/>
      <c r="F47" s="61"/>
      <c r="G47" s="61"/>
      <c r="H47" s="61"/>
      <c r="I47" s="61"/>
      <c r="J47" s="61"/>
    </row>
    <row r="48" customFormat="false" ht="18" hidden="false" customHeight="true" outlineLevel="0" collapsed="false">
      <c r="A48" s="62" t="s">
        <v>71</v>
      </c>
      <c r="B48" s="62"/>
      <c r="C48" s="33"/>
      <c r="D48" s="33"/>
      <c r="E48" s="33"/>
      <c r="F48" s="33"/>
      <c r="G48" s="33"/>
      <c r="H48" s="33"/>
      <c r="I48" s="33"/>
      <c r="J48" s="33"/>
    </row>
    <row r="49" customFormat="false" ht="18" hidden="false" customHeight="true" outlineLevel="0" collapsed="false">
      <c r="A49" s="60" t="s">
        <v>71</v>
      </c>
      <c r="B49" s="60"/>
      <c r="C49" s="61"/>
      <c r="D49" s="61"/>
      <c r="E49" s="61"/>
      <c r="F49" s="61"/>
      <c r="G49" s="61"/>
      <c r="H49" s="61"/>
      <c r="I49" s="61"/>
      <c r="J49" s="61"/>
    </row>
    <row r="50" customFormat="false" ht="18" hidden="false" customHeight="true" outlineLevel="0" collapsed="false">
      <c r="A50" s="62" t="s">
        <v>71</v>
      </c>
      <c r="B50" s="62"/>
      <c r="C50" s="33"/>
      <c r="D50" s="33"/>
      <c r="E50" s="33"/>
      <c r="F50" s="33"/>
      <c r="G50" s="33"/>
      <c r="H50" s="33"/>
      <c r="I50" s="33"/>
      <c r="J50" s="33"/>
    </row>
    <row r="51" customFormat="false" ht="19.5" hidden="false" customHeight="true" outlineLevel="0" collapsed="false">
      <c r="A51" s="59" t="s">
        <v>72</v>
      </c>
      <c r="B51" s="59"/>
      <c r="C51" s="63" t="n">
        <f aca="false">SUM(C41:C50)</f>
        <v>0</v>
      </c>
      <c r="D51" s="63" t="n">
        <f aca="false">SUM(D41:D50)</f>
        <v>0</v>
      </c>
      <c r="E51" s="63" t="n">
        <f aca="false">SUM(E41:E50)</f>
        <v>0</v>
      </c>
      <c r="F51" s="63" t="n">
        <f aca="false">SUM(F41:F50)</f>
        <v>0</v>
      </c>
      <c r="G51" s="63" t="n">
        <f aca="false">SUM(G41:G50)</f>
        <v>0</v>
      </c>
      <c r="H51" s="63" t="n">
        <f aca="false">SUM(H41:H50)</f>
        <v>0</v>
      </c>
      <c r="I51" s="63" t="n">
        <f aca="false">SUM(I41:I50)</f>
        <v>0</v>
      </c>
      <c r="J51" s="63" t="n">
        <f aca="false">SUM(J41:J50)</f>
        <v>0</v>
      </c>
    </row>
    <row r="52" customFormat="false" ht="6" hidden="false" customHeight="true" outlineLevel="0" collapsed="false"/>
    <row r="53" customFormat="false" ht="6" hidden="false" customHeight="true" outlineLevel="0" collapsed="false"/>
    <row r="54" customFormat="false" ht="19.5" hidden="false" customHeight="true" outlineLevel="0" collapsed="false">
      <c r="A54" s="50" t="s">
        <v>73</v>
      </c>
      <c r="B54" s="50"/>
      <c r="C54" s="50"/>
      <c r="D54" s="50"/>
      <c r="E54" s="50"/>
      <c r="F54" s="50"/>
      <c r="G54" s="50"/>
      <c r="H54" s="50"/>
      <c r="I54" s="50"/>
      <c r="J54" s="50"/>
    </row>
    <row r="55" customFormat="false" ht="18" hidden="false" customHeight="true" outlineLevel="0" collapsed="false">
      <c r="A55" s="64" t="s">
        <v>74</v>
      </c>
      <c r="B55" s="64"/>
      <c r="C55" s="36" t="n">
        <f aca="false">C6</f>
        <v>0</v>
      </c>
      <c r="D55" s="36" t="n">
        <f aca="false">D6</f>
        <v>0</v>
      </c>
      <c r="E55" s="36" t="n">
        <f aca="false">E6</f>
        <v>0</v>
      </c>
      <c r="F55" s="36" t="n">
        <f aca="false">F6</f>
        <v>0</v>
      </c>
      <c r="G55" s="36" t="n">
        <f aca="false">G6</f>
        <v>0</v>
      </c>
      <c r="H55" s="36" t="n">
        <f aca="false">H6</f>
        <v>0</v>
      </c>
      <c r="I55" s="36" t="n">
        <f aca="false">I6</f>
        <v>0</v>
      </c>
      <c r="J55" s="36" t="n">
        <f aca="false">J6</f>
        <v>0</v>
      </c>
    </row>
    <row r="56" customFormat="false" ht="18" hidden="false" customHeight="true" outlineLevel="0" collapsed="false">
      <c r="A56" s="65" t="s">
        <v>75</v>
      </c>
      <c r="B56" s="65"/>
      <c r="C56" s="36" t="n">
        <f aca="false">C35</f>
        <v>0</v>
      </c>
      <c r="D56" s="36" t="n">
        <f aca="false">D35</f>
        <v>0</v>
      </c>
      <c r="E56" s="36" t="n">
        <f aca="false">E35</f>
        <v>0</v>
      </c>
      <c r="F56" s="36" t="n">
        <f aca="false">F35</f>
        <v>0</v>
      </c>
      <c r="G56" s="36" t="n">
        <f aca="false">G35</f>
        <v>0</v>
      </c>
      <c r="H56" s="36" t="n">
        <f aca="false">H35</f>
        <v>0</v>
      </c>
      <c r="I56" s="36" t="n">
        <f aca="false">I35</f>
        <v>0</v>
      </c>
      <c r="J56" s="36" t="n">
        <f aca="false">J35</f>
        <v>0</v>
      </c>
    </row>
    <row r="57" customFormat="false" ht="18" hidden="false" customHeight="true" outlineLevel="0" collapsed="false">
      <c r="A57" s="64" t="s">
        <v>76</v>
      </c>
      <c r="B57" s="64"/>
      <c r="C57" s="36" t="n">
        <f aca="false">C37</f>
        <v>0</v>
      </c>
      <c r="D57" s="36" t="n">
        <f aca="false">D37</f>
        <v>0</v>
      </c>
      <c r="E57" s="36" t="n">
        <f aca="false">E37</f>
        <v>0</v>
      </c>
      <c r="F57" s="36" t="n">
        <f aca="false">F37</f>
        <v>0</v>
      </c>
      <c r="G57" s="36" t="n">
        <f aca="false">G37</f>
        <v>0</v>
      </c>
      <c r="H57" s="36" t="n">
        <f aca="false">H37</f>
        <v>0</v>
      </c>
      <c r="I57" s="36" t="n">
        <f aca="false">I37</f>
        <v>0</v>
      </c>
      <c r="J57" s="36" t="n">
        <f aca="false">J37</f>
        <v>0</v>
      </c>
    </row>
    <row r="58" customFormat="false" ht="18" hidden="false" customHeight="true" outlineLevel="0" collapsed="false">
      <c r="A58" s="65" t="s">
        <v>77</v>
      </c>
      <c r="B58" s="65"/>
      <c r="C58" s="36" t="str">
        <f aca="false">C38</f>
        <v/>
      </c>
      <c r="D58" s="36" t="str">
        <f aca="false">D38</f>
        <v/>
      </c>
      <c r="E58" s="36" t="str">
        <f aca="false">E38</f>
        <v/>
      </c>
      <c r="F58" s="36" t="str">
        <f aca="false">F38</f>
        <v/>
      </c>
      <c r="G58" s="36" t="str">
        <f aca="false">G38</f>
        <v/>
      </c>
      <c r="H58" s="36" t="str">
        <f aca="false">H38</f>
        <v/>
      </c>
      <c r="I58" s="36" t="str">
        <f aca="false">I38</f>
        <v/>
      </c>
      <c r="J58" s="36" t="str">
        <f aca="false">J38</f>
        <v/>
      </c>
    </row>
    <row r="59" customFormat="false" ht="18" hidden="false" customHeight="true" outlineLevel="0" collapsed="false">
      <c r="A59" s="64" t="s">
        <v>78</v>
      </c>
      <c r="B59" s="64"/>
      <c r="C59" s="36" t="n">
        <f aca="false">C51</f>
        <v>0</v>
      </c>
      <c r="D59" s="36" t="n">
        <f aca="false">D51</f>
        <v>0</v>
      </c>
      <c r="E59" s="36" t="n">
        <f aca="false">E51</f>
        <v>0</v>
      </c>
      <c r="F59" s="36" t="n">
        <f aca="false">F51</f>
        <v>0</v>
      </c>
      <c r="G59" s="36" t="n">
        <f aca="false">G51</f>
        <v>0</v>
      </c>
      <c r="H59" s="36" t="n">
        <f aca="false">H51</f>
        <v>0</v>
      </c>
      <c r="I59" s="36" t="n">
        <f aca="false">I51</f>
        <v>0</v>
      </c>
      <c r="J59" s="36" t="n">
        <f aca="false">J51</f>
        <v>0</v>
      </c>
    </row>
    <row r="61" customFormat="false" ht="21.75" hidden="false" customHeight="true" outlineLevel="0" collapsed="false">
      <c r="A61" s="43" t="s">
        <v>39</v>
      </c>
      <c r="B61" s="43"/>
      <c r="C61" s="43"/>
      <c r="D61" s="43"/>
      <c r="E61" s="43"/>
      <c r="F61" s="43"/>
      <c r="G61" s="43"/>
      <c r="H61" s="43"/>
      <c r="I61" s="43"/>
      <c r="J61" s="43"/>
    </row>
  </sheetData>
  <sheetProtection sheet="true" password="df0a"/>
  <mergeCells count="54">
    <mergeCell ref="A1:J1"/>
    <mergeCell ref="A4:B4"/>
    <mergeCell ref="A5:B5"/>
    <mergeCell ref="A6:B6"/>
    <mergeCell ref="A7:B7"/>
    <mergeCell ref="A9:J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40:J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4:J54"/>
    <mergeCell ref="A55:B55"/>
    <mergeCell ref="A56:B56"/>
    <mergeCell ref="A57:B57"/>
    <mergeCell ref="A58:B58"/>
    <mergeCell ref="A59:B59"/>
    <mergeCell ref="A61:J61"/>
  </mergeCells>
  <conditionalFormatting sqref="C36">
    <cfRule type="cellIs" priority="2" operator="greaterThan" aboveAverage="0" equalAverage="0" bottom="0" percent="0" rank="0" text="" dxfId="0">
      <formula>1</formula>
    </cfRule>
    <cfRule type="cellIs" priority="3" operator="between" aboveAverage="0" equalAverage="0" bottom="0" percent="0" rank="0" text="" dxfId="3">
      <formula>0.8</formula>
      <formula>1</formula>
    </cfRule>
    <cfRule type="cellIs" priority="4" operator="lessThan" aboveAverage="0" equalAverage="0" bottom="0" percent="0" rank="0" text="" dxfId="2">
      <formula>0.8</formula>
    </cfRule>
  </conditionalFormatting>
  <conditionalFormatting sqref="D36">
    <cfRule type="cellIs" priority="5" operator="greaterThan" aboveAverage="0" equalAverage="0" bottom="0" percent="0" rank="0" text="" dxfId="0">
      <formula>1</formula>
    </cfRule>
    <cfRule type="cellIs" priority="6" operator="between" aboveAverage="0" equalAverage="0" bottom="0" percent="0" rank="0" text="" dxfId="3">
      <formula>0.8</formula>
      <formula>1</formula>
    </cfRule>
    <cfRule type="cellIs" priority="7" operator="lessThan" aboveAverage="0" equalAverage="0" bottom="0" percent="0" rank="0" text="" dxfId="2">
      <formula>0.8</formula>
    </cfRule>
  </conditionalFormatting>
  <conditionalFormatting sqref="E36">
    <cfRule type="cellIs" priority="8" operator="greaterThan" aboveAverage="0" equalAverage="0" bottom="0" percent="0" rank="0" text="" dxfId="0">
      <formula>1</formula>
    </cfRule>
    <cfRule type="cellIs" priority="9" operator="between" aboveAverage="0" equalAverage="0" bottom="0" percent="0" rank="0" text="" dxfId="3">
      <formula>0.8</formula>
      <formula>1</formula>
    </cfRule>
    <cfRule type="cellIs" priority="10" operator="lessThan" aboveAverage="0" equalAverage="0" bottom="0" percent="0" rank="0" text="" dxfId="2">
      <formula>0.8</formula>
    </cfRule>
  </conditionalFormatting>
  <conditionalFormatting sqref="F36">
    <cfRule type="cellIs" priority="11" operator="greaterThan" aboveAverage="0" equalAverage="0" bottom="0" percent="0" rank="0" text="" dxfId="0">
      <formula>1</formula>
    </cfRule>
    <cfRule type="cellIs" priority="12" operator="between" aboveAverage="0" equalAverage="0" bottom="0" percent="0" rank="0" text="" dxfId="3">
      <formula>0.8</formula>
      <formula>1</formula>
    </cfRule>
    <cfRule type="cellIs" priority="13" operator="lessThan" aboveAverage="0" equalAverage="0" bottom="0" percent="0" rank="0" text="" dxfId="2">
      <formula>0.8</formula>
    </cfRule>
  </conditionalFormatting>
  <conditionalFormatting sqref="G36">
    <cfRule type="cellIs" priority="14" operator="greaterThan" aboveAverage="0" equalAverage="0" bottom="0" percent="0" rank="0" text="" dxfId="0">
      <formula>1</formula>
    </cfRule>
    <cfRule type="cellIs" priority="15" operator="between" aboveAverage="0" equalAverage="0" bottom="0" percent="0" rank="0" text="" dxfId="3">
      <formula>0.8</formula>
      <formula>1</formula>
    </cfRule>
    <cfRule type="cellIs" priority="16" operator="lessThan" aboveAverage="0" equalAverage="0" bottom="0" percent="0" rank="0" text="" dxfId="2">
      <formula>0.8</formula>
    </cfRule>
  </conditionalFormatting>
  <conditionalFormatting sqref="H36">
    <cfRule type="cellIs" priority="17" operator="greaterThan" aboveAverage="0" equalAverage="0" bottom="0" percent="0" rank="0" text="" dxfId="0">
      <formula>1</formula>
    </cfRule>
    <cfRule type="cellIs" priority="18" operator="between" aboveAverage="0" equalAverage="0" bottom="0" percent="0" rank="0" text="" dxfId="3">
      <formula>0.8</formula>
      <formula>1</formula>
    </cfRule>
    <cfRule type="cellIs" priority="19" operator="lessThan" aboveAverage="0" equalAverage="0" bottom="0" percent="0" rank="0" text="" dxfId="2">
      <formula>0.8</formula>
    </cfRule>
  </conditionalFormatting>
  <conditionalFormatting sqref="I36">
    <cfRule type="cellIs" priority="20" operator="greaterThan" aboveAverage="0" equalAverage="0" bottom="0" percent="0" rank="0" text="" dxfId="0">
      <formula>1</formula>
    </cfRule>
    <cfRule type="cellIs" priority="21" operator="between" aboveAverage="0" equalAverage="0" bottom="0" percent="0" rank="0" text="" dxfId="3">
      <formula>0.8</formula>
      <formula>1</formula>
    </cfRule>
    <cfRule type="cellIs" priority="22" operator="lessThan" aboveAverage="0" equalAverage="0" bottom="0" percent="0" rank="0" text="" dxfId="2">
      <formula>0.8</formula>
    </cfRule>
  </conditionalFormatting>
  <conditionalFormatting sqref="J36">
    <cfRule type="cellIs" priority="23" operator="greaterThan" aboveAverage="0" equalAverage="0" bottom="0" percent="0" rank="0" text="" dxfId="0">
      <formula>1</formula>
    </cfRule>
    <cfRule type="cellIs" priority="24" operator="between" aboveAverage="0" equalAverage="0" bottom="0" percent="0" rank="0" text="" dxfId="3">
      <formula>0.8</formula>
      <formula>1</formula>
    </cfRule>
    <cfRule type="cellIs" priority="25" operator="lessThan" aboveAverage="0" equalAverage="0" bottom="0" percent="0" rank="0" text="" dxfId="2">
      <formula>0.8</formula>
    </cfRule>
  </conditionalFormatting>
  <conditionalFormatting sqref="C37">
    <cfRule type="cellIs" priority="26" operator="lessThan" aboveAverage="0" equalAverage="0" bottom="0" percent="0" rank="0" text="" dxfId="0">
      <formula>0</formula>
    </cfRule>
    <cfRule type="cellIs" priority="27" operator="greaterThanOrEqual" aboveAverage="0" equalAverage="0" bottom="0" percent="0" rank="0" text="" dxfId="2">
      <formula>0</formula>
    </cfRule>
  </conditionalFormatting>
  <conditionalFormatting sqref="D37">
    <cfRule type="cellIs" priority="28" operator="lessThan" aboveAverage="0" equalAverage="0" bottom="0" percent="0" rank="0" text="" dxfId="0">
      <formula>0</formula>
    </cfRule>
    <cfRule type="cellIs" priority="29" operator="greaterThanOrEqual" aboveAverage="0" equalAverage="0" bottom="0" percent="0" rank="0" text="" dxfId="2">
      <formula>0</formula>
    </cfRule>
  </conditionalFormatting>
  <conditionalFormatting sqref="E37">
    <cfRule type="cellIs" priority="30" operator="lessThan" aboveAverage="0" equalAverage="0" bottom="0" percent="0" rank="0" text="" dxfId="0">
      <formula>0</formula>
    </cfRule>
    <cfRule type="cellIs" priority="31" operator="greaterThanOrEqual" aboveAverage="0" equalAverage="0" bottom="0" percent="0" rank="0" text="" dxfId="2">
      <formula>0</formula>
    </cfRule>
  </conditionalFormatting>
  <conditionalFormatting sqref="F37">
    <cfRule type="cellIs" priority="32" operator="lessThan" aboveAverage="0" equalAverage="0" bottom="0" percent="0" rank="0" text="" dxfId="0">
      <formula>0</formula>
    </cfRule>
    <cfRule type="cellIs" priority="33" operator="greaterThanOrEqual" aboveAverage="0" equalAverage="0" bottom="0" percent="0" rank="0" text="" dxfId="2">
      <formula>0</formula>
    </cfRule>
  </conditionalFormatting>
  <conditionalFormatting sqref="G37">
    <cfRule type="cellIs" priority="34" operator="lessThan" aboveAverage="0" equalAverage="0" bottom="0" percent="0" rank="0" text="" dxfId="0">
      <formula>0</formula>
    </cfRule>
    <cfRule type="cellIs" priority="35" operator="greaterThanOrEqual" aboveAverage="0" equalAverage="0" bottom="0" percent="0" rank="0" text="" dxfId="2">
      <formula>0</formula>
    </cfRule>
  </conditionalFormatting>
  <conditionalFormatting sqref="H37">
    <cfRule type="cellIs" priority="36" operator="lessThan" aboveAverage="0" equalAverage="0" bottom="0" percent="0" rank="0" text="" dxfId="0">
      <formula>0</formula>
    </cfRule>
    <cfRule type="cellIs" priority="37" operator="greaterThanOrEqual" aboveAverage="0" equalAverage="0" bottom="0" percent="0" rank="0" text="" dxfId="2">
      <formula>0</formula>
    </cfRule>
  </conditionalFormatting>
  <conditionalFormatting sqref="I37">
    <cfRule type="cellIs" priority="38" operator="lessThan" aboveAverage="0" equalAverage="0" bottom="0" percent="0" rank="0" text="" dxfId="0">
      <formula>0</formula>
    </cfRule>
    <cfRule type="cellIs" priority="39" operator="greaterThanOrEqual" aboveAverage="0" equalAverage="0" bottom="0" percent="0" rank="0" text="" dxfId="2">
      <formula>0</formula>
    </cfRule>
  </conditionalFormatting>
  <conditionalFormatting sqref="J37">
    <cfRule type="cellIs" priority="40" operator="lessThan" aboveAverage="0" equalAverage="0" bottom="0" percent="0" rank="0" text="" dxfId="0">
      <formula>0</formula>
    </cfRule>
    <cfRule type="cellIs" priority="41" operator="greaterThanOrEqual" aboveAverage="0" equalAverage="0" bottom="0" percent="0" rank="0" text="" dxfId="2">
      <formula>0</formula>
    </cfRule>
  </conditionalFormatting>
  <conditionalFormatting sqref="C38">
    <cfRule type="cellIs" priority="42" operator="lessThan" aboveAverage="0" equalAverage="0" bottom="0" percent="0" rank="0" text="" dxfId="0">
      <formula>0</formula>
    </cfRule>
    <cfRule type="cellIs" priority="43" operator="greaterThanOrEqual" aboveAverage="0" equalAverage="0" bottom="0" percent="0" rank="0" text="" dxfId="2">
      <formula>0</formula>
    </cfRule>
  </conditionalFormatting>
  <conditionalFormatting sqref="D38">
    <cfRule type="cellIs" priority="44" operator="lessThan" aboveAverage="0" equalAverage="0" bottom="0" percent="0" rank="0" text="" dxfId="0">
      <formula>0</formula>
    </cfRule>
    <cfRule type="cellIs" priority="45" operator="greaterThanOrEqual" aboveAverage="0" equalAverage="0" bottom="0" percent="0" rank="0" text="" dxfId="2">
      <formula>0</formula>
    </cfRule>
  </conditionalFormatting>
  <conditionalFormatting sqref="E38">
    <cfRule type="cellIs" priority="46" operator="lessThan" aboveAverage="0" equalAverage="0" bottom="0" percent="0" rank="0" text="" dxfId="0">
      <formula>0</formula>
    </cfRule>
    <cfRule type="cellIs" priority="47" operator="greaterThanOrEqual" aboveAverage="0" equalAverage="0" bottom="0" percent="0" rank="0" text="" dxfId="2">
      <formula>0</formula>
    </cfRule>
  </conditionalFormatting>
  <conditionalFormatting sqref="F38">
    <cfRule type="cellIs" priority="48" operator="lessThan" aboveAverage="0" equalAverage="0" bottom="0" percent="0" rank="0" text="" dxfId="0">
      <formula>0</formula>
    </cfRule>
    <cfRule type="cellIs" priority="49" operator="greaterThanOrEqual" aboveAverage="0" equalAverage="0" bottom="0" percent="0" rank="0" text="" dxfId="2">
      <formula>0</formula>
    </cfRule>
  </conditionalFormatting>
  <conditionalFormatting sqref="G38">
    <cfRule type="cellIs" priority="50" operator="lessThan" aboveAverage="0" equalAverage="0" bottom="0" percent="0" rank="0" text="" dxfId="0">
      <formula>0</formula>
    </cfRule>
    <cfRule type="cellIs" priority="51" operator="greaterThanOrEqual" aboveAverage="0" equalAverage="0" bottom="0" percent="0" rank="0" text="" dxfId="2">
      <formula>0</formula>
    </cfRule>
  </conditionalFormatting>
  <conditionalFormatting sqref="H38">
    <cfRule type="cellIs" priority="52" operator="lessThan" aboveAverage="0" equalAverage="0" bottom="0" percent="0" rank="0" text="" dxfId="0">
      <formula>0</formula>
    </cfRule>
    <cfRule type="cellIs" priority="53" operator="greaterThanOrEqual" aboveAverage="0" equalAverage="0" bottom="0" percent="0" rank="0" text="" dxfId="2">
      <formula>0</formula>
    </cfRule>
  </conditionalFormatting>
  <conditionalFormatting sqref="I38">
    <cfRule type="cellIs" priority="54" operator="lessThan" aboveAverage="0" equalAverage="0" bottom="0" percent="0" rank="0" text="" dxfId="0">
      <formula>0</formula>
    </cfRule>
    <cfRule type="cellIs" priority="55" operator="greaterThanOrEqual" aboveAverage="0" equalAverage="0" bottom="0" percent="0" rank="0" text="" dxfId="2">
      <formula>0</formula>
    </cfRule>
  </conditionalFormatting>
  <conditionalFormatting sqref="J38">
    <cfRule type="cellIs" priority="56" operator="lessThan" aboveAverage="0" equalAverage="0" bottom="0" percent="0" rank="0" text="" dxfId="0">
      <formula>0</formula>
    </cfRule>
    <cfRule type="cellIs" priority="57" operator="greaterThanOrEqual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12" min="9" style="0" width="13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22"/>
  </cols>
  <sheetData>
    <row r="1" customFormat="false" ht="36" hidden="false" customHeight="true" outlineLevel="0" collapsed="false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A2" s="2" t="s">
        <v>1</v>
      </c>
      <c r="B2" s="3"/>
      <c r="D2" s="2" t="s">
        <v>2</v>
      </c>
      <c r="E2" s="3"/>
      <c r="H2" s="2" t="s">
        <v>3</v>
      </c>
      <c r="I2" s="3"/>
    </row>
    <row r="3" customFormat="false" ht="19.5" hidden="false" customHeight="true" outlineLevel="0" collapsed="false">
      <c r="A3" s="66" t="s">
        <v>80</v>
      </c>
      <c r="C3" s="67" t="n">
        <f aca="false">COUNTA(B7:B56)</f>
        <v>0</v>
      </c>
      <c r="D3" s="6" t="s">
        <v>81</v>
      </c>
      <c r="G3" s="7" t="n">
        <f aca="false">SUM(K7:K56)</f>
        <v>0</v>
      </c>
      <c r="H3" s="10" t="s">
        <v>82</v>
      </c>
      <c r="K3" s="11" t="n">
        <f aca="false">SUM(J7:J56)</f>
        <v>0</v>
      </c>
    </row>
    <row r="5" customFormat="false" ht="15.75" hidden="false" customHeight="true" outlineLevel="0" collapsed="false">
      <c r="A5" s="13" t="s">
        <v>83</v>
      </c>
      <c r="B5" s="13"/>
      <c r="C5" s="14" t="s">
        <v>84</v>
      </c>
      <c r="D5" s="14"/>
      <c r="E5" s="14"/>
      <c r="F5" s="18" t="s">
        <v>85</v>
      </c>
      <c r="G5" s="18"/>
      <c r="H5" s="15" t="s">
        <v>86</v>
      </c>
      <c r="I5" s="15"/>
      <c r="J5" s="15"/>
      <c r="K5" s="14" t="s">
        <v>87</v>
      </c>
      <c r="L5" s="14"/>
      <c r="M5" s="14"/>
      <c r="N5" s="68" t="s">
        <v>88</v>
      </c>
      <c r="O5" s="68"/>
      <c r="P5" s="68"/>
      <c r="Q5" s="21" t="s">
        <v>19</v>
      </c>
    </row>
    <row r="6" customFormat="false" ht="30" hidden="false" customHeight="true" outlineLevel="0" collapsed="false">
      <c r="A6" s="22" t="s">
        <v>21</v>
      </c>
      <c r="B6" s="22" t="s">
        <v>89</v>
      </c>
      <c r="C6" s="23" t="s">
        <v>23</v>
      </c>
      <c r="D6" s="23" t="s">
        <v>90</v>
      </c>
      <c r="E6" s="23" t="s">
        <v>91</v>
      </c>
      <c r="F6" s="25" t="s">
        <v>92</v>
      </c>
      <c r="G6" s="25" t="s">
        <v>93</v>
      </c>
      <c r="H6" s="24" t="s">
        <v>94</v>
      </c>
      <c r="I6" s="24" t="s">
        <v>95</v>
      </c>
      <c r="J6" s="24" t="s">
        <v>96</v>
      </c>
      <c r="K6" s="23" t="s">
        <v>97</v>
      </c>
      <c r="L6" s="23" t="s">
        <v>98</v>
      </c>
      <c r="M6" s="23" t="s">
        <v>99</v>
      </c>
      <c r="N6" s="69" t="s">
        <v>100</v>
      </c>
      <c r="O6" s="69" t="s">
        <v>101</v>
      </c>
      <c r="P6" s="69" t="s">
        <v>102</v>
      </c>
      <c r="Q6" s="24" t="s">
        <v>103</v>
      </c>
    </row>
    <row r="7" customFormat="false" ht="18" hidden="false" customHeight="true" outlineLevel="0" collapsed="false">
      <c r="A7" s="28" t="n">
        <v>1</v>
      </c>
      <c r="B7" s="29"/>
      <c r="C7" s="30"/>
      <c r="D7" s="29"/>
      <c r="E7" s="29"/>
      <c r="F7" s="30"/>
      <c r="G7" s="30"/>
      <c r="H7" s="70"/>
      <c r="I7" s="52"/>
      <c r="J7" s="52"/>
      <c r="K7" s="31"/>
      <c r="L7" s="31"/>
      <c r="M7" s="32" t="str">
        <f aca="false">IF(L7&lt;&gt;"",$B$3-L7,"")</f>
        <v/>
      </c>
      <c r="N7" s="71"/>
      <c r="O7" s="72"/>
      <c r="P7" s="71"/>
      <c r="Q7" s="29"/>
    </row>
    <row r="8" customFormat="false" ht="18" hidden="false" customHeight="true" outlineLevel="0" collapsed="false">
      <c r="A8" s="37" t="n">
        <v>2</v>
      </c>
      <c r="B8" s="38"/>
      <c r="C8" s="39"/>
      <c r="D8" s="38"/>
      <c r="E8" s="38"/>
      <c r="F8" s="39"/>
      <c r="G8" s="39"/>
      <c r="H8" s="73"/>
      <c r="I8" s="33"/>
      <c r="J8" s="33"/>
      <c r="K8" s="40"/>
      <c r="L8" s="40"/>
      <c r="M8" s="32" t="str">
        <f aca="false">IF(L8&lt;&gt;"",$B$3-L8,"")</f>
        <v/>
      </c>
      <c r="N8" s="71"/>
      <c r="O8" s="72"/>
      <c r="P8" s="71"/>
      <c r="Q8" s="38"/>
    </row>
    <row r="9" customFormat="false" ht="18" hidden="false" customHeight="true" outlineLevel="0" collapsed="false">
      <c r="A9" s="28" t="n">
        <v>3</v>
      </c>
      <c r="B9" s="29"/>
      <c r="C9" s="30"/>
      <c r="D9" s="29"/>
      <c r="E9" s="29"/>
      <c r="F9" s="30"/>
      <c r="G9" s="30"/>
      <c r="H9" s="70"/>
      <c r="I9" s="52"/>
      <c r="J9" s="52"/>
      <c r="K9" s="31"/>
      <c r="L9" s="31"/>
      <c r="M9" s="32" t="str">
        <f aca="false">IF(L9&lt;&gt;"",$B$3-L9,"")</f>
        <v/>
      </c>
      <c r="N9" s="71"/>
      <c r="O9" s="72"/>
      <c r="P9" s="71"/>
      <c r="Q9" s="29"/>
    </row>
    <row r="10" customFormat="false" ht="18" hidden="false" customHeight="true" outlineLevel="0" collapsed="false">
      <c r="A10" s="37" t="n">
        <v>4</v>
      </c>
      <c r="B10" s="38"/>
      <c r="C10" s="39"/>
      <c r="D10" s="38"/>
      <c r="E10" s="38"/>
      <c r="F10" s="39"/>
      <c r="G10" s="39"/>
      <c r="H10" s="73"/>
      <c r="I10" s="33"/>
      <c r="J10" s="33"/>
      <c r="K10" s="40"/>
      <c r="L10" s="40"/>
      <c r="M10" s="32" t="str">
        <f aca="false">IF(L10&lt;&gt;"",$B$3-L10,"")</f>
        <v/>
      </c>
      <c r="N10" s="71"/>
      <c r="O10" s="72"/>
      <c r="P10" s="71"/>
      <c r="Q10" s="38"/>
    </row>
    <row r="11" customFormat="false" ht="18" hidden="false" customHeight="true" outlineLevel="0" collapsed="false">
      <c r="A11" s="28" t="n">
        <v>5</v>
      </c>
      <c r="B11" s="29"/>
      <c r="C11" s="30"/>
      <c r="D11" s="29"/>
      <c r="E11" s="29"/>
      <c r="F11" s="30"/>
      <c r="G11" s="30"/>
      <c r="H11" s="70"/>
      <c r="I11" s="52"/>
      <c r="J11" s="52"/>
      <c r="K11" s="31"/>
      <c r="L11" s="31"/>
      <c r="M11" s="32" t="str">
        <f aca="false">IF(L11&lt;&gt;"",$B$3-L11,"")</f>
        <v/>
      </c>
      <c r="N11" s="71"/>
      <c r="O11" s="72"/>
      <c r="P11" s="71"/>
      <c r="Q11" s="29"/>
    </row>
    <row r="12" customFormat="false" ht="18" hidden="false" customHeight="true" outlineLevel="0" collapsed="false">
      <c r="A12" s="37" t="n">
        <v>6</v>
      </c>
      <c r="B12" s="38"/>
      <c r="C12" s="39"/>
      <c r="D12" s="38"/>
      <c r="E12" s="38"/>
      <c r="F12" s="39"/>
      <c r="G12" s="39"/>
      <c r="H12" s="73"/>
      <c r="I12" s="33"/>
      <c r="J12" s="33"/>
      <c r="K12" s="40"/>
      <c r="L12" s="40"/>
      <c r="M12" s="32" t="str">
        <f aca="false">IF(L12&lt;&gt;"",$B$3-L12,"")</f>
        <v/>
      </c>
      <c r="N12" s="71"/>
      <c r="O12" s="72"/>
      <c r="P12" s="71"/>
      <c r="Q12" s="38"/>
    </row>
    <row r="13" customFormat="false" ht="18" hidden="false" customHeight="true" outlineLevel="0" collapsed="false">
      <c r="A13" s="28" t="n">
        <v>7</v>
      </c>
      <c r="B13" s="29"/>
      <c r="C13" s="30"/>
      <c r="D13" s="29"/>
      <c r="E13" s="29"/>
      <c r="F13" s="30"/>
      <c r="G13" s="30"/>
      <c r="H13" s="70"/>
      <c r="I13" s="52"/>
      <c r="J13" s="52"/>
      <c r="K13" s="31"/>
      <c r="L13" s="31"/>
      <c r="M13" s="32" t="str">
        <f aca="false">IF(L13&lt;&gt;"",$B$3-L13,"")</f>
        <v/>
      </c>
      <c r="N13" s="71"/>
      <c r="O13" s="72"/>
      <c r="P13" s="71"/>
      <c r="Q13" s="29"/>
    </row>
    <row r="14" customFormat="false" ht="18" hidden="false" customHeight="true" outlineLevel="0" collapsed="false">
      <c r="A14" s="37" t="n">
        <v>8</v>
      </c>
      <c r="B14" s="38"/>
      <c r="C14" s="39"/>
      <c r="D14" s="38"/>
      <c r="E14" s="38"/>
      <c r="F14" s="39"/>
      <c r="G14" s="39"/>
      <c r="H14" s="73"/>
      <c r="I14" s="33"/>
      <c r="J14" s="33"/>
      <c r="K14" s="40"/>
      <c r="L14" s="40"/>
      <c r="M14" s="32" t="str">
        <f aca="false">IF(L14&lt;&gt;"",$B$3-L14,"")</f>
        <v/>
      </c>
      <c r="N14" s="71"/>
      <c r="O14" s="72"/>
      <c r="P14" s="71"/>
      <c r="Q14" s="38"/>
    </row>
    <row r="15" customFormat="false" ht="18" hidden="false" customHeight="true" outlineLevel="0" collapsed="false">
      <c r="A15" s="28" t="n">
        <v>9</v>
      </c>
      <c r="B15" s="29"/>
      <c r="C15" s="30"/>
      <c r="D15" s="29"/>
      <c r="E15" s="29"/>
      <c r="F15" s="30"/>
      <c r="G15" s="30"/>
      <c r="H15" s="70"/>
      <c r="I15" s="52"/>
      <c r="J15" s="52"/>
      <c r="K15" s="31"/>
      <c r="L15" s="31"/>
      <c r="M15" s="32" t="str">
        <f aca="false">IF(L15&lt;&gt;"",$B$3-L15,"")</f>
        <v/>
      </c>
      <c r="N15" s="71"/>
      <c r="O15" s="72"/>
      <c r="P15" s="71"/>
      <c r="Q15" s="29"/>
    </row>
    <row r="16" customFormat="false" ht="18" hidden="false" customHeight="true" outlineLevel="0" collapsed="false">
      <c r="A16" s="37" t="n">
        <v>10</v>
      </c>
      <c r="B16" s="38"/>
      <c r="C16" s="39"/>
      <c r="D16" s="38"/>
      <c r="E16" s="38"/>
      <c r="F16" s="39"/>
      <c r="G16" s="39"/>
      <c r="H16" s="73"/>
      <c r="I16" s="33"/>
      <c r="J16" s="33"/>
      <c r="K16" s="40"/>
      <c r="L16" s="40"/>
      <c r="M16" s="32" t="str">
        <f aca="false">IF(L16&lt;&gt;"",$B$3-L16,"")</f>
        <v/>
      </c>
      <c r="N16" s="71"/>
      <c r="O16" s="72"/>
      <c r="P16" s="71"/>
      <c r="Q16" s="38"/>
    </row>
    <row r="17" customFormat="false" ht="18" hidden="false" customHeight="true" outlineLevel="0" collapsed="false">
      <c r="A17" s="28" t="n">
        <v>11</v>
      </c>
      <c r="B17" s="29"/>
      <c r="C17" s="30"/>
      <c r="D17" s="29"/>
      <c r="E17" s="29"/>
      <c r="F17" s="30"/>
      <c r="G17" s="30"/>
      <c r="H17" s="70"/>
      <c r="I17" s="52"/>
      <c r="J17" s="52"/>
      <c r="K17" s="31"/>
      <c r="L17" s="31"/>
      <c r="M17" s="32" t="str">
        <f aca="false">IF(L17&lt;&gt;"",$B$3-L17,"")</f>
        <v/>
      </c>
      <c r="N17" s="71"/>
      <c r="O17" s="72"/>
      <c r="P17" s="71"/>
      <c r="Q17" s="29"/>
    </row>
    <row r="18" customFormat="false" ht="18" hidden="false" customHeight="true" outlineLevel="0" collapsed="false">
      <c r="A18" s="37" t="n">
        <v>12</v>
      </c>
      <c r="B18" s="38"/>
      <c r="C18" s="39"/>
      <c r="D18" s="38"/>
      <c r="E18" s="38"/>
      <c r="F18" s="39"/>
      <c r="G18" s="39"/>
      <c r="H18" s="73"/>
      <c r="I18" s="33"/>
      <c r="J18" s="33"/>
      <c r="K18" s="40"/>
      <c r="L18" s="40"/>
      <c r="M18" s="32" t="str">
        <f aca="false">IF(L18&lt;&gt;"",$B$3-L18,"")</f>
        <v/>
      </c>
      <c r="N18" s="71"/>
      <c r="O18" s="72"/>
      <c r="P18" s="71"/>
      <c r="Q18" s="38"/>
    </row>
    <row r="19" customFormat="false" ht="18" hidden="false" customHeight="true" outlineLevel="0" collapsed="false">
      <c r="A19" s="28" t="n">
        <v>13</v>
      </c>
      <c r="B19" s="29"/>
      <c r="C19" s="30"/>
      <c r="D19" s="29"/>
      <c r="E19" s="29"/>
      <c r="F19" s="30"/>
      <c r="G19" s="30"/>
      <c r="H19" s="70"/>
      <c r="I19" s="52"/>
      <c r="J19" s="52"/>
      <c r="K19" s="31"/>
      <c r="L19" s="31"/>
      <c r="M19" s="32" t="str">
        <f aca="false">IF(L19&lt;&gt;"",$B$3-L19,"")</f>
        <v/>
      </c>
      <c r="N19" s="71"/>
      <c r="O19" s="72"/>
      <c r="P19" s="71"/>
      <c r="Q19" s="29"/>
    </row>
    <row r="20" customFormat="false" ht="18" hidden="false" customHeight="true" outlineLevel="0" collapsed="false">
      <c r="A20" s="37" t="n">
        <v>14</v>
      </c>
      <c r="B20" s="38"/>
      <c r="C20" s="39"/>
      <c r="D20" s="38"/>
      <c r="E20" s="38"/>
      <c r="F20" s="39"/>
      <c r="G20" s="39"/>
      <c r="H20" s="73"/>
      <c r="I20" s="33"/>
      <c r="J20" s="33"/>
      <c r="K20" s="40"/>
      <c r="L20" s="40"/>
      <c r="M20" s="32" t="str">
        <f aca="false">IF(L20&lt;&gt;"",$B$3-L20,"")</f>
        <v/>
      </c>
      <c r="N20" s="71"/>
      <c r="O20" s="72"/>
      <c r="P20" s="71"/>
      <c r="Q20" s="38"/>
    </row>
    <row r="21" customFormat="false" ht="18" hidden="false" customHeight="true" outlineLevel="0" collapsed="false">
      <c r="A21" s="28" t="n">
        <v>15</v>
      </c>
      <c r="B21" s="29"/>
      <c r="C21" s="30"/>
      <c r="D21" s="29"/>
      <c r="E21" s="29"/>
      <c r="F21" s="30"/>
      <c r="G21" s="30"/>
      <c r="H21" s="70"/>
      <c r="I21" s="52"/>
      <c r="J21" s="52"/>
      <c r="K21" s="31"/>
      <c r="L21" s="31"/>
      <c r="M21" s="32" t="str">
        <f aca="false">IF(L21&lt;&gt;"",$B$3-L21,"")</f>
        <v/>
      </c>
      <c r="N21" s="71"/>
      <c r="O21" s="72"/>
      <c r="P21" s="71"/>
      <c r="Q21" s="29"/>
    </row>
    <row r="22" customFormat="false" ht="18" hidden="false" customHeight="true" outlineLevel="0" collapsed="false">
      <c r="A22" s="37" t="n">
        <v>16</v>
      </c>
      <c r="B22" s="38"/>
      <c r="C22" s="39"/>
      <c r="D22" s="38"/>
      <c r="E22" s="38"/>
      <c r="F22" s="39"/>
      <c r="G22" s="39"/>
      <c r="H22" s="73"/>
      <c r="I22" s="33"/>
      <c r="J22" s="33"/>
      <c r="K22" s="40"/>
      <c r="L22" s="40"/>
      <c r="M22" s="32" t="str">
        <f aca="false">IF(L22&lt;&gt;"",$B$3-L22,"")</f>
        <v/>
      </c>
      <c r="N22" s="71"/>
      <c r="O22" s="72"/>
      <c r="P22" s="71"/>
      <c r="Q22" s="38"/>
    </row>
    <row r="23" customFormat="false" ht="18" hidden="false" customHeight="true" outlineLevel="0" collapsed="false">
      <c r="A23" s="28" t="n">
        <v>17</v>
      </c>
      <c r="B23" s="29"/>
      <c r="C23" s="30"/>
      <c r="D23" s="29"/>
      <c r="E23" s="29"/>
      <c r="F23" s="30"/>
      <c r="G23" s="30"/>
      <c r="H23" s="70"/>
      <c r="I23" s="52"/>
      <c r="J23" s="52"/>
      <c r="K23" s="31"/>
      <c r="L23" s="31"/>
      <c r="M23" s="32" t="str">
        <f aca="false">IF(L23&lt;&gt;"",$B$3-L23,"")</f>
        <v/>
      </c>
      <c r="N23" s="71"/>
      <c r="O23" s="72"/>
      <c r="P23" s="71"/>
      <c r="Q23" s="29"/>
    </row>
    <row r="24" customFormat="false" ht="18" hidden="false" customHeight="true" outlineLevel="0" collapsed="false">
      <c r="A24" s="37" t="n">
        <v>18</v>
      </c>
      <c r="B24" s="38"/>
      <c r="C24" s="39"/>
      <c r="D24" s="38"/>
      <c r="E24" s="38"/>
      <c r="F24" s="39"/>
      <c r="G24" s="39"/>
      <c r="H24" s="73"/>
      <c r="I24" s="33"/>
      <c r="J24" s="33"/>
      <c r="K24" s="40"/>
      <c r="L24" s="40"/>
      <c r="M24" s="32" t="str">
        <f aca="false">IF(L24&lt;&gt;"",$B$3-L24,"")</f>
        <v/>
      </c>
      <c r="N24" s="71"/>
      <c r="O24" s="72"/>
      <c r="P24" s="71"/>
      <c r="Q24" s="38"/>
    </row>
    <row r="25" customFormat="false" ht="18" hidden="false" customHeight="true" outlineLevel="0" collapsed="false">
      <c r="A25" s="28" t="n">
        <v>19</v>
      </c>
      <c r="B25" s="29"/>
      <c r="C25" s="30"/>
      <c r="D25" s="29"/>
      <c r="E25" s="29"/>
      <c r="F25" s="30"/>
      <c r="G25" s="30"/>
      <c r="H25" s="70"/>
      <c r="I25" s="52"/>
      <c r="J25" s="52"/>
      <c r="K25" s="31"/>
      <c r="L25" s="31"/>
      <c r="M25" s="32" t="str">
        <f aca="false">IF(L25&lt;&gt;"",$B$3-L25,"")</f>
        <v/>
      </c>
      <c r="N25" s="71"/>
      <c r="O25" s="72"/>
      <c r="P25" s="71"/>
      <c r="Q25" s="29"/>
    </row>
    <row r="26" customFormat="false" ht="18" hidden="false" customHeight="true" outlineLevel="0" collapsed="false">
      <c r="A26" s="37" t="n">
        <v>20</v>
      </c>
      <c r="B26" s="38"/>
      <c r="C26" s="39"/>
      <c r="D26" s="38"/>
      <c r="E26" s="38"/>
      <c r="F26" s="39"/>
      <c r="G26" s="39"/>
      <c r="H26" s="73"/>
      <c r="I26" s="33"/>
      <c r="J26" s="33"/>
      <c r="K26" s="40"/>
      <c r="L26" s="40"/>
      <c r="M26" s="32" t="str">
        <f aca="false">IF(L26&lt;&gt;"",$B$3-L26,"")</f>
        <v/>
      </c>
      <c r="N26" s="71"/>
      <c r="O26" s="72"/>
      <c r="P26" s="71"/>
      <c r="Q26" s="38"/>
    </row>
    <row r="27" customFormat="false" ht="18" hidden="false" customHeight="true" outlineLevel="0" collapsed="false">
      <c r="A27" s="28" t="n">
        <v>21</v>
      </c>
      <c r="B27" s="29"/>
      <c r="C27" s="30"/>
      <c r="D27" s="29"/>
      <c r="E27" s="29"/>
      <c r="F27" s="30"/>
      <c r="G27" s="30"/>
      <c r="H27" s="70"/>
      <c r="I27" s="52"/>
      <c r="J27" s="52"/>
      <c r="K27" s="31"/>
      <c r="L27" s="31"/>
      <c r="M27" s="32" t="str">
        <f aca="false">IF(L27&lt;&gt;"",$B$3-L27,"")</f>
        <v/>
      </c>
      <c r="N27" s="71"/>
      <c r="O27" s="72"/>
      <c r="P27" s="71"/>
      <c r="Q27" s="29"/>
    </row>
    <row r="28" customFormat="false" ht="18" hidden="false" customHeight="true" outlineLevel="0" collapsed="false">
      <c r="A28" s="37" t="n">
        <v>22</v>
      </c>
      <c r="B28" s="38"/>
      <c r="C28" s="39"/>
      <c r="D28" s="38"/>
      <c r="E28" s="38"/>
      <c r="F28" s="39"/>
      <c r="G28" s="39"/>
      <c r="H28" s="73"/>
      <c r="I28" s="33"/>
      <c r="J28" s="33"/>
      <c r="K28" s="40"/>
      <c r="L28" s="40"/>
      <c r="M28" s="32" t="str">
        <f aca="false">IF(L28&lt;&gt;"",$B$3-L28,"")</f>
        <v/>
      </c>
      <c r="N28" s="71"/>
      <c r="O28" s="72"/>
      <c r="P28" s="71"/>
      <c r="Q28" s="38"/>
    </row>
    <row r="29" customFormat="false" ht="18" hidden="false" customHeight="true" outlineLevel="0" collapsed="false">
      <c r="A29" s="28" t="n">
        <v>23</v>
      </c>
      <c r="B29" s="29"/>
      <c r="C29" s="30"/>
      <c r="D29" s="29"/>
      <c r="E29" s="29"/>
      <c r="F29" s="30"/>
      <c r="G29" s="30"/>
      <c r="H29" s="70"/>
      <c r="I29" s="52"/>
      <c r="J29" s="52"/>
      <c r="K29" s="31"/>
      <c r="L29" s="31"/>
      <c r="M29" s="32" t="str">
        <f aca="false">IF(L29&lt;&gt;"",$B$3-L29,"")</f>
        <v/>
      </c>
      <c r="N29" s="71"/>
      <c r="O29" s="72"/>
      <c r="P29" s="71"/>
      <c r="Q29" s="29"/>
    </row>
    <row r="30" customFormat="false" ht="18" hidden="false" customHeight="true" outlineLevel="0" collapsed="false">
      <c r="A30" s="37" t="n">
        <v>24</v>
      </c>
      <c r="B30" s="38"/>
      <c r="C30" s="39"/>
      <c r="D30" s="38"/>
      <c r="E30" s="38"/>
      <c r="F30" s="39"/>
      <c r="G30" s="39"/>
      <c r="H30" s="73"/>
      <c r="I30" s="33"/>
      <c r="J30" s="33"/>
      <c r="K30" s="40"/>
      <c r="L30" s="40"/>
      <c r="M30" s="32" t="str">
        <f aca="false">IF(L30&lt;&gt;"",$B$3-L30,"")</f>
        <v/>
      </c>
      <c r="N30" s="71"/>
      <c r="O30" s="72"/>
      <c r="P30" s="71"/>
      <c r="Q30" s="38"/>
    </row>
    <row r="31" customFormat="false" ht="18" hidden="false" customHeight="true" outlineLevel="0" collapsed="false">
      <c r="A31" s="28" t="n">
        <v>25</v>
      </c>
      <c r="B31" s="29"/>
      <c r="C31" s="30"/>
      <c r="D31" s="29"/>
      <c r="E31" s="29"/>
      <c r="F31" s="30"/>
      <c r="G31" s="30"/>
      <c r="H31" s="70"/>
      <c r="I31" s="52"/>
      <c r="J31" s="52"/>
      <c r="K31" s="31"/>
      <c r="L31" s="31"/>
      <c r="M31" s="32" t="str">
        <f aca="false">IF(L31&lt;&gt;"",$B$3-L31,"")</f>
        <v/>
      </c>
      <c r="N31" s="71"/>
      <c r="O31" s="72"/>
      <c r="P31" s="71"/>
      <c r="Q31" s="29"/>
    </row>
    <row r="32" customFormat="false" ht="18" hidden="false" customHeight="true" outlineLevel="0" collapsed="false">
      <c r="A32" s="37" t="n">
        <v>26</v>
      </c>
      <c r="B32" s="38"/>
      <c r="C32" s="39"/>
      <c r="D32" s="38"/>
      <c r="E32" s="38"/>
      <c r="F32" s="39"/>
      <c r="G32" s="39"/>
      <c r="H32" s="73"/>
      <c r="I32" s="33"/>
      <c r="J32" s="33"/>
      <c r="K32" s="40"/>
      <c r="L32" s="40"/>
      <c r="M32" s="32" t="str">
        <f aca="false">IF(L32&lt;&gt;"",$B$3-L32,"")</f>
        <v/>
      </c>
      <c r="N32" s="71"/>
      <c r="O32" s="72"/>
      <c r="P32" s="71"/>
      <c r="Q32" s="38"/>
    </row>
    <row r="33" customFormat="false" ht="18" hidden="false" customHeight="true" outlineLevel="0" collapsed="false">
      <c r="A33" s="28" t="n">
        <v>27</v>
      </c>
      <c r="B33" s="29"/>
      <c r="C33" s="30"/>
      <c r="D33" s="29"/>
      <c r="E33" s="29"/>
      <c r="F33" s="30"/>
      <c r="G33" s="30"/>
      <c r="H33" s="70"/>
      <c r="I33" s="52"/>
      <c r="J33" s="52"/>
      <c r="K33" s="31"/>
      <c r="L33" s="31"/>
      <c r="M33" s="32" t="str">
        <f aca="false">IF(L33&lt;&gt;"",$B$3-L33,"")</f>
        <v/>
      </c>
      <c r="N33" s="71"/>
      <c r="O33" s="72"/>
      <c r="P33" s="71"/>
      <c r="Q33" s="29"/>
    </row>
    <row r="34" customFormat="false" ht="18" hidden="false" customHeight="true" outlineLevel="0" collapsed="false">
      <c r="A34" s="37" t="n">
        <v>28</v>
      </c>
      <c r="B34" s="38"/>
      <c r="C34" s="39"/>
      <c r="D34" s="38"/>
      <c r="E34" s="38"/>
      <c r="F34" s="39"/>
      <c r="G34" s="39"/>
      <c r="H34" s="73"/>
      <c r="I34" s="33"/>
      <c r="J34" s="33"/>
      <c r="K34" s="40"/>
      <c r="L34" s="40"/>
      <c r="M34" s="32" t="str">
        <f aca="false">IF(L34&lt;&gt;"",$B$3-L34,"")</f>
        <v/>
      </c>
      <c r="N34" s="71"/>
      <c r="O34" s="72"/>
      <c r="P34" s="71"/>
      <c r="Q34" s="38"/>
    </row>
    <row r="35" customFormat="false" ht="18" hidden="false" customHeight="true" outlineLevel="0" collapsed="false">
      <c r="A35" s="28" t="n">
        <v>29</v>
      </c>
      <c r="B35" s="29"/>
      <c r="C35" s="30"/>
      <c r="D35" s="29"/>
      <c r="E35" s="29"/>
      <c r="F35" s="30"/>
      <c r="G35" s="30"/>
      <c r="H35" s="70"/>
      <c r="I35" s="52"/>
      <c r="J35" s="52"/>
      <c r="K35" s="31"/>
      <c r="L35" s="31"/>
      <c r="M35" s="32" t="str">
        <f aca="false">IF(L35&lt;&gt;"",$B$3-L35,"")</f>
        <v/>
      </c>
      <c r="N35" s="71"/>
      <c r="O35" s="72"/>
      <c r="P35" s="71"/>
      <c r="Q35" s="29"/>
    </row>
    <row r="36" customFormat="false" ht="18" hidden="false" customHeight="true" outlineLevel="0" collapsed="false">
      <c r="A36" s="37" t="n">
        <v>30</v>
      </c>
      <c r="B36" s="38"/>
      <c r="C36" s="39"/>
      <c r="D36" s="38"/>
      <c r="E36" s="38"/>
      <c r="F36" s="39"/>
      <c r="G36" s="39"/>
      <c r="H36" s="73"/>
      <c r="I36" s="33"/>
      <c r="J36" s="33"/>
      <c r="K36" s="40"/>
      <c r="L36" s="40"/>
      <c r="M36" s="32" t="str">
        <f aca="false">IF(L36&lt;&gt;"",$B$3-L36,"")</f>
        <v/>
      </c>
      <c r="N36" s="71"/>
      <c r="O36" s="72"/>
      <c r="P36" s="71"/>
      <c r="Q36" s="38"/>
    </row>
    <row r="37" customFormat="false" ht="18" hidden="false" customHeight="true" outlineLevel="0" collapsed="false">
      <c r="A37" s="28" t="n">
        <v>31</v>
      </c>
      <c r="B37" s="29"/>
      <c r="C37" s="30"/>
      <c r="D37" s="29"/>
      <c r="E37" s="29"/>
      <c r="F37" s="30"/>
      <c r="G37" s="30"/>
      <c r="H37" s="70"/>
      <c r="I37" s="52"/>
      <c r="J37" s="52"/>
      <c r="K37" s="31"/>
      <c r="L37" s="31"/>
      <c r="M37" s="32" t="str">
        <f aca="false">IF(L37&lt;&gt;"",$B$3-L37,"")</f>
        <v/>
      </c>
      <c r="N37" s="71"/>
      <c r="O37" s="72"/>
      <c r="P37" s="71"/>
      <c r="Q37" s="29"/>
    </row>
    <row r="38" customFormat="false" ht="18" hidden="false" customHeight="true" outlineLevel="0" collapsed="false">
      <c r="A38" s="37" t="n">
        <v>32</v>
      </c>
      <c r="B38" s="38"/>
      <c r="C38" s="39"/>
      <c r="D38" s="38"/>
      <c r="E38" s="38"/>
      <c r="F38" s="39"/>
      <c r="G38" s="39"/>
      <c r="H38" s="73"/>
      <c r="I38" s="33"/>
      <c r="J38" s="33"/>
      <c r="K38" s="40"/>
      <c r="L38" s="40"/>
      <c r="M38" s="32" t="str">
        <f aca="false">IF(L38&lt;&gt;"",$B$3-L38,"")</f>
        <v/>
      </c>
      <c r="N38" s="71"/>
      <c r="O38" s="72"/>
      <c r="P38" s="71"/>
      <c r="Q38" s="38"/>
    </row>
    <row r="39" customFormat="false" ht="18" hidden="false" customHeight="true" outlineLevel="0" collapsed="false">
      <c r="A39" s="28" t="n">
        <v>33</v>
      </c>
      <c r="B39" s="29"/>
      <c r="C39" s="30"/>
      <c r="D39" s="29"/>
      <c r="E39" s="29"/>
      <c r="F39" s="30"/>
      <c r="G39" s="30"/>
      <c r="H39" s="70"/>
      <c r="I39" s="52"/>
      <c r="J39" s="52"/>
      <c r="K39" s="31"/>
      <c r="L39" s="31"/>
      <c r="M39" s="32" t="str">
        <f aca="false">IF(L39&lt;&gt;"",$B$3-L39,"")</f>
        <v/>
      </c>
      <c r="N39" s="71"/>
      <c r="O39" s="72"/>
      <c r="P39" s="71"/>
      <c r="Q39" s="29"/>
    </row>
    <row r="40" customFormat="false" ht="18" hidden="false" customHeight="true" outlineLevel="0" collapsed="false">
      <c r="A40" s="37" t="n">
        <v>34</v>
      </c>
      <c r="B40" s="38"/>
      <c r="C40" s="39"/>
      <c r="D40" s="38"/>
      <c r="E40" s="38"/>
      <c r="F40" s="39"/>
      <c r="G40" s="39"/>
      <c r="H40" s="73"/>
      <c r="I40" s="33"/>
      <c r="J40" s="33"/>
      <c r="K40" s="40"/>
      <c r="L40" s="40"/>
      <c r="M40" s="32" t="str">
        <f aca="false">IF(L40&lt;&gt;"",$B$3-L40,"")</f>
        <v/>
      </c>
      <c r="N40" s="71"/>
      <c r="O40" s="72"/>
      <c r="P40" s="71"/>
      <c r="Q40" s="38"/>
    </row>
    <row r="41" customFormat="false" ht="18" hidden="false" customHeight="true" outlineLevel="0" collapsed="false">
      <c r="A41" s="28" t="n">
        <v>35</v>
      </c>
      <c r="B41" s="29"/>
      <c r="C41" s="30"/>
      <c r="D41" s="29"/>
      <c r="E41" s="29"/>
      <c r="F41" s="30"/>
      <c r="G41" s="30"/>
      <c r="H41" s="70"/>
      <c r="I41" s="52"/>
      <c r="J41" s="52"/>
      <c r="K41" s="31"/>
      <c r="L41" s="31"/>
      <c r="M41" s="32" t="str">
        <f aca="false">IF(L41&lt;&gt;"",$B$3-L41,"")</f>
        <v/>
      </c>
      <c r="N41" s="71"/>
      <c r="O41" s="72"/>
      <c r="P41" s="71"/>
      <c r="Q41" s="29"/>
    </row>
    <row r="42" customFormat="false" ht="18" hidden="false" customHeight="true" outlineLevel="0" collapsed="false">
      <c r="A42" s="37" t="n">
        <v>36</v>
      </c>
      <c r="B42" s="38"/>
      <c r="C42" s="39"/>
      <c r="D42" s="38"/>
      <c r="E42" s="38"/>
      <c r="F42" s="39"/>
      <c r="G42" s="39"/>
      <c r="H42" s="73"/>
      <c r="I42" s="33"/>
      <c r="J42" s="33"/>
      <c r="K42" s="40"/>
      <c r="L42" s="40"/>
      <c r="M42" s="32" t="str">
        <f aca="false">IF(L42&lt;&gt;"",$B$3-L42,"")</f>
        <v/>
      </c>
      <c r="N42" s="71"/>
      <c r="O42" s="72"/>
      <c r="P42" s="71"/>
      <c r="Q42" s="38"/>
    </row>
    <row r="43" customFormat="false" ht="18" hidden="false" customHeight="true" outlineLevel="0" collapsed="false">
      <c r="A43" s="28" t="n">
        <v>37</v>
      </c>
      <c r="B43" s="29"/>
      <c r="C43" s="30"/>
      <c r="D43" s="29"/>
      <c r="E43" s="29"/>
      <c r="F43" s="30"/>
      <c r="G43" s="30"/>
      <c r="H43" s="70"/>
      <c r="I43" s="52"/>
      <c r="J43" s="52"/>
      <c r="K43" s="31"/>
      <c r="L43" s="31"/>
      <c r="M43" s="32" t="str">
        <f aca="false">IF(L43&lt;&gt;"",$B$3-L43,"")</f>
        <v/>
      </c>
      <c r="N43" s="71"/>
      <c r="O43" s="72"/>
      <c r="P43" s="71"/>
      <c r="Q43" s="29"/>
    </row>
    <row r="44" customFormat="false" ht="18" hidden="false" customHeight="true" outlineLevel="0" collapsed="false">
      <c r="A44" s="37" t="n">
        <v>38</v>
      </c>
      <c r="B44" s="38"/>
      <c r="C44" s="39"/>
      <c r="D44" s="38"/>
      <c r="E44" s="38"/>
      <c r="F44" s="39"/>
      <c r="G44" s="39"/>
      <c r="H44" s="73"/>
      <c r="I44" s="33"/>
      <c r="J44" s="33"/>
      <c r="K44" s="40"/>
      <c r="L44" s="40"/>
      <c r="M44" s="32" t="str">
        <f aca="false">IF(L44&lt;&gt;"",$B$3-L44,"")</f>
        <v/>
      </c>
      <c r="N44" s="71"/>
      <c r="O44" s="72"/>
      <c r="P44" s="71"/>
      <c r="Q44" s="38"/>
    </row>
    <row r="45" customFormat="false" ht="18" hidden="false" customHeight="true" outlineLevel="0" collapsed="false">
      <c r="A45" s="28" t="n">
        <v>39</v>
      </c>
      <c r="B45" s="29"/>
      <c r="C45" s="30"/>
      <c r="D45" s="29"/>
      <c r="E45" s="29"/>
      <c r="F45" s="30"/>
      <c r="G45" s="30"/>
      <c r="H45" s="70"/>
      <c r="I45" s="52"/>
      <c r="J45" s="52"/>
      <c r="K45" s="31"/>
      <c r="L45" s="31"/>
      <c r="M45" s="32" t="str">
        <f aca="false">IF(L45&lt;&gt;"",$B$3-L45,"")</f>
        <v/>
      </c>
      <c r="N45" s="71"/>
      <c r="O45" s="72"/>
      <c r="P45" s="71"/>
      <c r="Q45" s="29"/>
    </row>
    <row r="46" customFormat="false" ht="18" hidden="false" customHeight="true" outlineLevel="0" collapsed="false">
      <c r="A46" s="37" t="n">
        <v>40</v>
      </c>
      <c r="B46" s="38"/>
      <c r="C46" s="39"/>
      <c r="D46" s="38"/>
      <c r="E46" s="38"/>
      <c r="F46" s="39"/>
      <c r="G46" s="39"/>
      <c r="H46" s="73"/>
      <c r="I46" s="33"/>
      <c r="J46" s="33"/>
      <c r="K46" s="40"/>
      <c r="L46" s="40"/>
      <c r="M46" s="32" t="str">
        <f aca="false">IF(L46&lt;&gt;"",$B$3-L46,"")</f>
        <v/>
      </c>
      <c r="N46" s="71"/>
      <c r="O46" s="72"/>
      <c r="P46" s="71"/>
      <c r="Q46" s="38"/>
    </row>
    <row r="47" customFormat="false" ht="18" hidden="false" customHeight="true" outlineLevel="0" collapsed="false">
      <c r="A47" s="28" t="n">
        <v>41</v>
      </c>
      <c r="B47" s="29"/>
      <c r="C47" s="30"/>
      <c r="D47" s="29"/>
      <c r="E47" s="29"/>
      <c r="F47" s="30"/>
      <c r="G47" s="30"/>
      <c r="H47" s="70"/>
      <c r="I47" s="52"/>
      <c r="J47" s="52"/>
      <c r="K47" s="31"/>
      <c r="L47" s="31"/>
      <c r="M47" s="32" t="str">
        <f aca="false">IF(L47&lt;&gt;"",$B$3-L47,"")</f>
        <v/>
      </c>
      <c r="N47" s="71"/>
      <c r="O47" s="72"/>
      <c r="P47" s="71"/>
      <c r="Q47" s="29"/>
    </row>
    <row r="48" customFormat="false" ht="18" hidden="false" customHeight="true" outlineLevel="0" collapsed="false">
      <c r="A48" s="37" t="n">
        <v>42</v>
      </c>
      <c r="B48" s="38"/>
      <c r="C48" s="39"/>
      <c r="D48" s="38"/>
      <c r="E48" s="38"/>
      <c r="F48" s="39"/>
      <c r="G48" s="39"/>
      <c r="H48" s="73"/>
      <c r="I48" s="33"/>
      <c r="J48" s="33"/>
      <c r="K48" s="40"/>
      <c r="L48" s="40"/>
      <c r="M48" s="32" t="str">
        <f aca="false">IF(L48&lt;&gt;"",$B$3-L48,"")</f>
        <v/>
      </c>
      <c r="N48" s="71"/>
      <c r="O48" s="72"/>
      <c r="P48" s="71"/>
      <c r="Q48" s="38"/>
    </row>
    <row r="49" customFormat="false" ht="18" hidden="false" customHeight="true" outlineLevel="0" collapsed="false">
      <c r="A49" s="28" t="n">
        <v>43</v>
      </c>
      <c r="B49" s="29"/>
      <c r="C49" s="30"/>
      <c r="D49" s="29"/>
      <c r="E49" s="29"/>
      <c r="F49" s="30"/>
      <c r="G49" s="30"/>
      <c r="H49" s="70"/>
      <c r="I49" s="52"/>
      <c r="J49" s="52"/>
      <c r="K49" s="31"/>
      <c r="L49" s="31"/>
      <c r="M49" s="32" t="str">
        <f aca="false">IF(L49&lt;&gt;"",$B$3-L49,"")</f>
        <v/>
      </c>
      <c r="N49" s="71"/>
      <c r="O49" s="72"/>
      <c r="P49" s="71"/>
      <c r="Q49" s="29"/>
    </row>
    <row r="50" customFormat="false" ht="18" hidden="false" customHeight="true" outlineLevel="0" collapsed="false">
      <c r="A50" s="37" t="n">
        <v>44</v>
      </c>
      <c r="B50" s="38"/>
      <c r="C50" s="39"/>
      <c r="D50" s="38"/>
      <c r="E50" s="38"/>
      <c r="F50" s="39"/>
      <c r="G50" s="39"/>
      <c r="H50" s="73"/>
      <c r="I50" s="33"/>
      <c r="J50" s="33"/>
      <c r="K50" s="40"/>
      <c r="L50" s="40"/>
      <c r="M50" s="32" t="str">
        <f aca="false">IF(L50&lt;&gt;"",$B$3-L50,"")</f>
        <v/>
      </c>
      <c r="N50" s="71"/>
      <c r="O50" s="72"/>
      <c r="P50" s="71"/>
      <c r="Q50" s="38"/>
    </row>
    <row r="51" customFormat="false" ht="18" hidden="false" customHeight="true" outlineLevel="0" collapsed="false">
      <c r="A51" s="28" t="n">
        <v>45</v>
      </c>
      <c r="B51" s="29"/>
      <c r="C51" s="30"/>
      <c r="D51" s="29"/>
      <c r="E51" s="29"/>
      <c r="F51" s="30"/>
      <c r="G51" s="30"/>
      <c r="H51" s="70"/>
      <c r="I51" s="52"/>
      <c r="J51" s="52"/>
      <c r="K51" s="31"/>
      <c r="L51" s="31"/>
      <c r="M51" s="32" t="str">
        <f aca="false">IF(L51&lt;&gt;"",$B$3-L51,"")</f>
        <v/>
      </c>
      <c r="N51" s="71"/>
      <c r="O51" s="72"/>
      <c r="P51" s="71"/>
      <c r="Q51" s="29"/>
    </row>
    <row r="52" customFormat="false" ht="18" hidden="false" customHeight="true" outlineLevel="0" collapsed="false">
      <c r="A52" s="37" t="n">
        <v>46</v>
      </c>
      <c r="B52" s="38"/>
      <c r="C52" s="39"/>
      <c r="D52" s="38"/>
      <c r="E52" s="38"/>
      <c r="F52" s="39"/>
      <c r="G52" s="39"/>
      <c r="H52" s="73"/>
      <c r="I52" s="33"/>
      <c r="J52" s="33"/>
      <c r="K52" s="40"/>
      <c r="L52" s="40"/>
      <c r="M52" s="32" t="str">
        <f aca="false">IF(L52&lt;&gt;"",$B$3-L52,"")</f>
        <v/>
      </c>
      <c r="N52" s="71"/>
      <c r="O52" s="72"/>
      <c r="P52" s="71"/>
      <c r="Q52" s="38"/>
    </row>
    <row r="53" customFormat="false" ht="18" hidden="false" customHeight="true" outlineLevel="0" collapsed="false">
      <c r="A53" s="28" t="n">
        <v>47</v>
      </c>
      <c r="B53" s="29"/>
      <c r="C53" s="30"/>
      <c r="D53" s="29"/>
      <c r="E53" s="29"/>
      <c r="F53" s="30"/>
      <c r="G53" s="30"/>
      <c r="H53" s="70"/>
      <c r="I53" s="52"/>
      <c r="J53" s="52"/>
      <c r="K53" s="31"/>
      <c r="L53" s="31"/>
      <c r="M53" s="32" t="str">
        <f aca="false">IF(L53&lt;&gt;"",$B$3-L53,"")</f>
        <v/>
      </c>
      <c r="N53" s="71"/>
      <c r="O53" s="72"/>
      <c r="P53" s="71"/>
      <c r="Q53" s="29"/>
    </row>
    <row r="54" customFormat="false" ht="18" hidden="false" customHeight="true" outlineLevel="0" collapsed="false">
      <c r="A54" s="37" t="n">
        <v>48</v>
      </c>
      <c r="B54" s="38"/>
      <c r="C54" s="39"/>
      <c r="D54" s="38"/>
      <c r="E54" s="38"/>
      <c r="F54" s="39"/>
      <c r="G54" s="39"/>
      <c r="H54" s="73"/>
      <c r="I54" s="33"/>
      <c r="J54" s="33"/>
      <c r="K54" s="40"/>
      <c r="L54" s="40"/>
      <c r="M54" s="32" t="str">
        <f aca="false">IF(L54&lt;&gt;"",$B$3-L54,"")</f>
        <v/>
      </c>
      <c r="N54" s="71"/>
      <c r="O54" s="72"/>
      <c r="P54" s="71"/>
      <c r="Q54" s="38"/>
    </row>
    <row r="55" customFormat="false" ht="18" hidden="false" customHeight="true" outlineLevel="0" collapsed="false">
      <c r="A55" s="28" t="n">
        <v>49</v>
      </c>
      <c r="B55" s="29"/>
      <c r="C55" s="30"/>
      <c r="D55" s="29"/>
      <c r="E55" s="29"/>
      <c r="F55" s="30"/>
      <c r="G55" s="30"/>
      <c r="H55" s="70"/>
      <c r="I55" s="52"/>
      <c r="J55" s="52"/>
      <c r="K55" s="31"/>
      <c r="L55" s="31"/>
      <c r="M55" s="32" t="str">
        <f aca="false">IF(L55&lt;&gt;"",$B$3-L55,"")</f>
        <v/>
      </c>
      <c r="N55" s="71"/>
      <c r="O55" s="72"/>
      <c r="P55" s="71"/>
      <c r="Q55" s="29"/>
    </row>
    <row r="56" customFormat="false" ht="18" hidden="false" customHeight="true" outlineLevel="0" collapsed="false">
      <c r="A56" s="37" t="n">
        <v>50</v>
      </c>
      <c r="B56" s="38"/>
      <c r="C56" s="39"/>
      <c r="D56" s="38"/>
      <c r="E56" s="38"/>
      <c r="F56" s="39"/>
      <c r="G56" s="39"/>
      <c r="H56" s="73"/>
      <c r="I56" s="33"/>
      <c r="J56" s="33"/>
      <c r="K56" s="40"/>
      <c r="L56" s="40"/>
      <c r="M56" s="32" t="str">
        <f aca="false">IF(L56&lt;&gt;"",$B$3-L56,"")</f>
        <v/>
      </c>
      <c r="N56" s="71"/>
      <c r="O56" s="72"/>
      <c r="P56" s="71"/>
      <c r="Q56" s="38"/>
    </row>
    <row r="57" customFormat="false" ht="19.5" hidden="false" customHeight="true" outlineLevel="0" collapsed="false">
      <c r="A57" s="41" t="s">
        <v>38</v>
      </c>
      <c r="B57" s="41"/>
      <c r="C57" s="41"/>
      <c r="D57" s="41"/>
      <c r="E57" s="41"/>
      <c r="F57" s="41"/>
      <c r="G57" s="41"/>
      <c r="H57" s="41"/>
      <c r="I57" s="42" t="n">
        <f aca="false">SUM(I7:I56)</f>
        <v>0</v>
      </c>
      <c r="J57" s="42" t="n">
        <f aca="false">SUM(J7:J56)</f>
        <v>0</v>
      </c>
    </row>
    <row r="59" customFormat="false" ht="21.75" hidden="false" customHeight="true" outlineLevel="0" collapsed="false">
      <c r="A59" s="43" t="s">
        <v>39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</row>
  </sheetData>
  <sheetProtection sheet="true" password="df0a"/>
  <mergeCells count="9">
    <mergeCell ref="A1:Q1"/>
    <mergeCell ref="A5:B5"/>
    <mergeCell ref="C5:E5"/>
    <mergeCell ref="F5:G5"/>
    <mergeCell ref="H5:J5"/>
    <mergeCell ref="K5:M5"/>
    <mergeCell ref="N5:P5"/>
    <mergeCell ref="A57:H57"/>
    <mergeCell ref="A59:Q59"/>
  </mergeCells>
  <conditionalFormatting sqref="P7:P56">
    <cfRule type="cellIs" priority="2" operator="equal" aboveAverage="0" equalAverage="0" bottom="0" percent="0" rank="0" text="" dxfId="2">
      <formula>"Current"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0">
      <formula>"Missing"</formula>
    </cfRule>
    <cfRule type="cellIs" priority="5" operator="equal" aboveAverage="0" equalAverage="0" bottom="0" percent="0" rank="0" text="" dxfId="6">
      <formula>"Not Required"</formula>
    </cfRule>
  </conditionalFormatting>
  <conditionalFormatting sqref="J7:J56">
    <cfRule type="cellIs" priority="6" operator="greaterThan" aboveAverage="0" equalAverage="0" bottom="0" percent="0" rank="0" text="" dxfId="0">
      <formula>0</formula>
    </cfRule>
  </conditionalFormatting>
  <conditionalFormatting sqref="M7:M56">
    <cfRule type="cellIs" priority="7" operator="greaterThan" aboveAverage="0" equalAverage="0" bottom="0" percent="0" rank="0" text="" dxfId="3">
      <formula>45</formula>
    </cfRule>
  </conditionalFormatting>
  <dataValidations count="4">
    <dataValidation allowBlank="true" errorStyle="stop" operator="between" showDropDown="false" showErrorMessage="true" showInputMessage="false" sqref="C7:C56" type="list">
      <formula1>"Subcontractor,Supplier,Equipment,Labor,Overhead,Other"</formula1>
      <formula2>0</formula2>
    </dataValidation>
    <dataValidation allowBlank="true" errorStyle="stop" operator="between" showDropDown="false" showErrorMessage="true" showInputMessage="false" sqref="G7:G56" type="list">
      <formula1>"Check,ACH,Wire,Credit Card,Zelle,Cash,Other"</formula1>
      <formula2>0</formula2>
    </dataValidation>
    <dataValidation allowBlank="true" errorStyle="stop" operator="between" showDropDown="false" showErrorMessage="true" showInputMessage="false" sqref="N7:N56" type="list">
      <formula1>"Yes,No"</formula1>
      <formula2>0</formula2>
    </dataValidation>
    <dataValidation allowBlank="true" errorStyle="stop" operator="between" showDropDown="false" showErrorMessage="true" showInputMessage="false" sqref="P7:P56" type="list">
      <formula1>"Current,Pending,Missing,Not Required"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2"/>
  </cols>
  <sheetData>
    <row r="1" customFormat="false" ht="36" hidden="false" customHeight="true" outlineLevel="0" collapsed="false">
      <c r="A1" s="1" t="s">
        <v>104</v>
      </c>
      <c r="B1" s="1"/>
      <c r="C1" s="1"/>
    </row>
    <row r="3" customFormat="false" ht="54.75" hidden="false" customHeight="true" outlineLevel="0" collapsed="false">
      <c r="A3" s="74" t="s">
        <v>105</v>
      </c>
      <c r="B3" s="74"/>
      <c r="C3" s="74"/>
    </row>
    <row r="5" customFormat="false" ht="24" hidden="false" customHeight="true" outlineLevel="0" collapsed="false">
      <c r="A5" s="75" t="s">
        <v>106</v>
      </c>
      <c r="B5" s="75"/>
      <c r="C5" s="75"/>
    </row>
    <row r="6" customFormat="false" ht="49.5" hidden="false" customHeight="true" outlineLevel="0" collapsed="false">
      <c r="B6" s="76" t="s">
        <v>107</v>
      </c>
      <c r="C6" s="77" t="s">
        <v>108</v>
      </c>
    </row>
    <row r="7" customFormat="false" ht="49.5" hidden="false" customHeight="true" outlineLevel="0" collapsed="false">
      <c r="B7" s="76" t="s">
        <v>109</v>
      </c>
      <c r="C7" s="77" t="s">
        <v>110</v>
      </c>
    </row>
    <row r="8" customFormat="false" ht="49.5" hidden="false" customHeight="true" outlineLevel="0" collapsed="false">
      <c r="B8" s="76" t="s">
        <v>111</v>
      </c>
      <c r="C8" s="77" t="s">
        <v>112</v>
      </c>
    </row>
    <row r="9" customFormat="false" ht="49.5" hidden="false" customHeight="true" outlineLevel="0" collapsed="false">
      <c r="B9" s="76" t="s">
        <v>113</v>
      </c>
      <c r="C9" s="77" t="s">
        <v>114</v>
      </c>
    </row>
    <row r="10" customFormat="false" ht="49.5" hidden="false" customHeight="true" outlineLevel="0" collapsed="false">
      <c r="B10" s="76" t="s">
        <v>115</v>
      </c>
      <c r="C10" s="77" t="s">
        <v>116</v>
      </c>
    </row>
    <row r="12" customFormat="false" ht="24" hidden="false" customHeight="true" outlineLevel="0" collapsed="false">
      <c r="A12" s="78" t="s">
        <v>117</v>
      </c>
      <c r="B12" s="78"/>
      <c r="C12" s="78"/>
    </row>
    <row r="13" customFormat="false" ht="49.5" hidden="false" customHeight="true" outlineLevel="0" collapsed="false">
      <c r="B13" s="76" t="s">
        <v>118</v>
      </c>
      <c r="C13" s="77" t="s">
        <v>119</v>
      </c>
    </row>
    <row r="14" customFormat="false" ht="49.5" hidden="false" customHeight="true" outlineLevel="0" collapsed="false">
      <c r="B14" s="76" t="s">
        <v>120</v>
      </c>
      <c r="C14" s="77" t="s">
        <v>121</v>
      </c>
    </row>
    <row r="15" customFormat="false" ht="49.5" hidden="false" customHeight="true" outlineLevel="0" collapsed="false">
      <c r="B15" s="76" t="s">
        <v>122</v>
      </c>
      <c r="C15" s="77" t="s">
        <v>123</v>
      </c>
    </row>
    <row r="16" customFormat="false" ht="49.5" hidden="false" customHeight="true" outlineLevel="0" collapsed="false">
      <c r="B16" s="76" t="s">
        <v>124</v>
      </c>
      <c r="C16" s="77" t="s">
        <v>125</v>
      </c>
    </row>
    <row r="18" customFormat="false" ht="24" hidden="false" customHeight="true" outlineLevel="0" collapsed="false">
      <c r="A18" s="79" t="s">
        <v>126</v>
      </c>
      <c r="B18" s="79"/>
      <c r="C18" s="79"/>
    </row>
    <row r="19" customFormat="false" ht="49.5" hidden="false" customHeight="true" outlineLevel="0" collapsed="false">
      <c r="B19" s="76" t="s">
        <v>127</v>
      </c>
      <c r="C19" s="77" t="s">
        <v>128</v>
      </c>
    </row>
    <row r="20" customFormat="false" ht="49.5" hidden="false" customHeight="true" outlineLevel="0" collapsed="false">
      <c r="B20" s="76" t="s">
        <v>129</v>
      </c>
      <c r="C20" s="77" t="s">
        <v>130</v>
      </c>
    </row>
    <row r="21" customFormat="false" ht="49.5" hidden="false" customHeight="true" outlineLevel="0" collapsed="false">
      <c r="B21" s="76" t="s">
        <v>131</v>
      </c>
      <c r="C21" s="77" t="s">
        <v>132</v>
      </c>
    </row>
    <row r="23" customFormat="false" ht="24" hidden="false" customHeight="true" outlineLevel="0" collapsed="false">
      <c r="A23" s="80" t="s">
        <v>133</v>
      </c>
      <c r="B23" s="80"/>
      <c r="C23" s="80"/>
    </row>
    <row r="24" customFormat="false" ht="49.5" hidden="false" customHeight="true" outlineLevel="0" collapsed="false">
      <c r="B24" s="76" t="s">
        <v>134</v>
      </c>
      <c r="C24" s="77" t="s">
        <v>135</v>
      </c>
    </row>
    <row r="25" customFormat="false" ht="49.5" hidden="false" customHeight="true" outlineLevel="0" collapsed="false">
      <c r="B25" s="76" t="s">
        <v>136</v>
      </c>
      <c r="C25" s="77" t="s">
        <v>137</v>
      </c>
    </row>
    <row r="26" customFormat="false" ht="49.5" hidden="false" customHeight="true" outlineLevel="0" collapsed="false">
      <c r="B26" s="76" t="s">
        <v>138</v>
      </c>
      <c r="C26" s="77" t="s">
        <v>139</v>
      </c>
    </row>
    <row r="28" customFormat="false" ht="24" hidden="false" customHeight="true" outlineLevel="0" collapsed="false">
      <c r="A28" s="78" t="s">
        <v>140</v>
      </c>
      <c r="B28" s="78"/>
      <c r="C28" s="78"/>
    </row>
    <row r="29" customFormat="false" ht="49.5" hidden="false" customHeight="true" outlineLevel="0" collapsed="false">
      <c r="B29" s="76" t="s">
        <v>141</v>
      </c>
      <c r="C29" s="77" t="s">
        <v>142</v>
      </c>
    </row>
    <row r="30" customFormat="false" ht="49.5" hidden="false" customHeight="true" outlineLevel="0" collapsed="false">
      <c r="B30" s="76" t="s">
        <v>143</v>
      </c>
      <c r="C30" s="77" t="s">
        <v>144</v>
      </c>
    </row>
    <row r="31" customFormat="false" ht="49.5" hidden="false" customHeight="true" outlineLevel="0" collapsed="false">
      <c r="B31" s="76" t="s">
        <v>145</v>
      </c>
      <c r="C31" s="77" t="s">
        <v>146</v>
      </c>
    </row>
    <row r="32" customFormat="false" ht="49.5" hidden="false" customHeight="true" outlineLevel="0" collapsed="false">
      <c r="B32" s="76" t="s">
        <v>147</v>
      </c>
      <c r="C32" s="77" t="s">
        <v>148</v>
      </c>
    </row>
    <row r="33" customFormat="false" ht="49.5" hidden="false" customHeight="true" outlineLevel="0" collapsed="false">
      <c r="B33" s="76" t="s">
        <v>149</v>
      </c>
      <c r="C33" s="77" t="s">
        <v>150</v>
      </c>
    </row>
    <row r="34" customFormat="false" ht="49.5" hidden="false" customHeight="true" outlineLevel="0" collapsed="false">
      <c r="B34" s="76" t="s">
        <v>151</v>
      </c>
      <c r="C34" s="77" t="s">
        <v>152</v>
      </c>
    </row>
    <row r="35" customFormat="false" ht="49.5" hidden="false" customHeight="true" outlineLevel="0" collapsed="false">
      <c r="B35" s="76" t="s">
        <v>153</v>
      </c>
      <c r="C35" s="77" t="s">
        <v>154</v>
      </c>
    </row>
    <row r="37" customFormat="false" ht="21.75" hidden="false" customHeight="true" outlineLevel="0" collapsed="false">
      <c r="A37" s="43" t="s">
        <v>39</v>
      </c>
      <c r="B37" s="43"/>
      <c r="C37" s="43"/>
    </row>
  </sheetData>
  <sheetProtection sheet="true" password="df0a"/>
  <mergeCells count="8">
    <mergeCell ref="A1:C1"/>
    <mergeCell ref="A3:C3"/>
    <mergeCell ref="A5:C5"/>
    <mergeCell ref="A12:C12"/>
    <mergeCell ref="A18:C18"/>
    <mergeCell ref="A23:C23"/>
    <mergeCell ref="A28:C28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2026-03-30T20:12:14Z</dcterms:created>
  <dc:creator>openpyxl</dc:creator>
  <dc:description/>
  <dc:language>en-US</dc:language>
  <cp:lastModifiedBy/>
  <dcterms:modified xsi:type="dcterms:W3CDTF">2026-03-30T20:12:15Z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