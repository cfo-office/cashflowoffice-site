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 Builder" sheetId="1" state="visible" r:id="rId3"/>
    <sheet name="🔧 Subcontractor" sheetId="2" state="visible" r:id="rId4"/>
    <sheet name="🏡 Remodeler" sheetId="3" state="visible" r:id="rId5"/>
    <sheet name="📖 Cost Code Reference" sheetId="4" state="visible" r:id="rId6"/>
    <sheet name="📋 Instructions"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<sst xmlns="http://schemas.openxmlformats.org/spreadsheetml/2006/main" count="509" uniqueCount="377">
  <si>
    <t xml:space="preserve">CASH FLOW OFFICE  |  Job Cost Tracker — Builder (Draw-Based Projects)</t>
  </si>
  <si>
    <t xml:space="preserve">Project Name:</t>
  </si>
  <si>
    <t xml:space="preserve">Client:</t>
  </si>
  <si>
    <t xml:space="preserve">Project Manager:</t>
  </si>
  <si>
    <t xml:space="preserve">Start Date:</t>
  </si>
  <si>
    <t xml:space="preserve">Report Date:</t>
  </si>
  <si>
    <t xml:space="preserve">Retainage Rate:</t>
  </si>
  <si>
    <t xml:space="preserve">← Enter your contract retainage rate (typically 5% or 10%). This drives the Retainage Held column automatically.</t>
  </si>
  <si>
    <t xml:space="preserve">JOB INFO</t>
  </si>
  <si>
    <t xml:space="preserve">BUDGET</t>
  </si>
  <si>
    <t xml:space="preserve">SUBCONTRACT</t>
  </si>
  <si>
    <t xml:space="preserve">COST TRACKING</t>
  </si>
  <si>
    <t xml:space="preserve">PERFORMANCE</t>
  </si>
  <si>
    <t xml:space="preserve">BILLING</t>
  </si>
  <si>
    <t xml:space="preserve">COLLECTIONS &amp; RETAINAGE</t>
  </si>
  <si>
    <t xml:space="preserve">STATUS</t>
  </si>
  <si>
    <t xml:space="preserve">Cost
Code</t>
  </si>
  <si>
    <t xml:space="preserve">Draw # /
Milestone</t>
  </si>
  <si>
    <t xml:space="preserve">Trade /
Description</t>
  </si>
  <si>
    <t xml:space="preserve">Contractor /
Sub</t>
  </si>
  <si>
    <t xml:space="preserve">Original
Budget</t>
  </si>
  <si>
    <t xml:space="preserve">Approved
Change Orders</t>
  </si>
  <si>
    <t xml:space="preserve">Revised
Budget ▶</t>
  </si>
  <si>
    <t xml:space="preserve">Orig Sub
Contract</t>
  </si>
  <si>
    <t xml:space="preserve">Sub Change
Orders</t>
  </si>
  <si>
    <t xml:space="preserve">Revised Sub
Contract ▶</t>
  </si>
  <si>
    <t xml:space="preserve">Committed
Cost to Date</t>
  </si>
  <si>
    <t xml:space="preserve">Non-Committed
Cost to Date</t>
  </si>
  <si>
    <t xml:space="preserve">Non-Committed
Est. to Complete</t>
  </si>
  <si>
    <t xml:space="preserve">Est. Final
Cost ▶</t>
  </si>
  <si>
    <t xml:space="preserve">Variance ▶
(Budget−Final)</t>
  </si>
  <si>
    <t xml:space="preserve">% Complete
(Est.)</t>
  </si>
  <si>
    <t xml:space="preserve">Amount
Billed</t>
  </si>
  <si>
    <t xml:space="preserve">Retainage
Held ▶</t>
  </si>
  <si>
    <t xml:space="preserve">Net Billed
(After Ret.) ▶</t>
  </si>
  <si>
    <t xml:space="preserve">Amount
Collected</t>
  </si>
  <si>
    <t xml:space="preserve">Retainage
Released</t>
  </si>
  <si>
    <t xml:space="preserve">Retainage
Outstanding ▶</t>
  </si>
  <si>
    <t xml:space="preserve">Job
Status</t>
  </si>
  <si>
    <t xml:space="preserve">101</t>
  </si>
  <si>
    <t xml:space="preserve">Draw 1</t>
  </si>
  <si>
    <t xml:space="preserve">Supervision</t>
  </si>
  <si>
    <t xml:space="preserve">102</t>
  </si>
  <si>
    <t xml:space="preserve">Project Management</t>
  </si>
  <si>
    <t xml:space="preserve">120</t>
  </si>
  <si>
    <t xml:space="preserve">Temporary Facilities</t>
  </si>
  <si>
    <t xml:space="preserve">220</t>
  </si>
  <si>
    <t xml:space="preserve">Draw 2</t>
  </si>
  <si>
    <t xml:space="preserve">Earthwork</t>
  </si>
  <si>
    <t xml:space="preserve">340</t>
  </si>
  <si>
    <t xml:space="preserve">Concrete Labor</t>
  </si>
  <si>
    <t xml:space="preserve">Concrete Materials</t>
  </si>
  <si>
    <t xml:space="preserve">Concrete Equipment</t>
  </si>
  <si>
    <t xml:space="preserve">510</t>
  </si>
  <si>
    <t xml:space="preserve">Draw 3</t>
  </si>
  <si>
    <t xml:space="preserve">Steel / Structural</t>
  </si>
  <si>
    <t xml:space="preserve">750</t>
  </si>
  <si>
    <t xml:space="preserve">Roofing</t>
  </si>
  <si>
    <t xml:space="preserve">910</t>
  </si>
  <si>
    <t xml:space="preserve">Draw 4</t>
  </si>
  <si>
    <t xml:space="preserve">Plaster / Drywall</t>
  </si>
  <si>
    <t xml:space="preserve">1540</t>
  </si>
  <si>
    <t xml:space="preserve">Plumbing</t>
  </si>
  <si>
    <t xml:space="preserve">1600</t>
  </si>
  <si>
    <t xml:space="preserve">Electrical</t>
  </si>
  <si>
    <t xml:space="preserve">SUB-TOTAL</t>
  </si>
  <si>
    <t xml:space="preserve">Insurance / Bonding</t>
  </si>
  <si>
    <t xml:space="preserve">OH + Profit</t>
  </si>
  <si>
    <t xml:space="preserve">TOTALS</t>
  </si>
  <si>
    <t xml:space="preserve">CASH POSITION SUMMARY</t>
  </si>
  <si>
    <t xml:space="preserve">Contract Value (Revised Budget)</t>
  </si>
  <si>
    <t xml:space="preserve">Total Billed</t>
  </si>
  <si>
    <t xml:space="preserve">Retainage Held (withheld by Owner)</t>
  </si>
  <si>
    <t xml:space="preserve">Net Billed (After Retainage)</t>
  </si>
  <si>
    <t xml:space="preserve">Total Collected</t>
  </si>
  <si>
    <t xml:space="preserve">Retainage Released</t>
  </si>
  <si>
    <t xml:space="preserve">Retainage Still Outstanding</t>
  </si>
  <si>
    <t xml:space="preserve">Est. Final Cost</t>
  </si>
  <si>
    <t xml:space="preserve">Projected Profit ($)</t>
  </si>
  <si>
    <t xml:space="preserve">Projected Profit (%)</t>
  </si>
  <si>
    <t xml:space="preserve">Cash Gap (Billed − Collected)</t>
  </si>
  <si>
    <t xml:space="preserve">Cash Position (Collected − Costs)</t>
  </si>
  <si>
    <t xml:space="preserve">⚠ Retainage is cash you've earned but cannot collect until job completion/acceptance. Track it carefully — it's often 5-10% of your entire contract value tied up for months.</t>
  </si>
  <si>
    <t xml:space="preserve">CASH RISK SCORE</t>
  </si>
  <si>
    <t xml:space="preserve">Score  ( 1 = High Risk → 10 = Low Risk )</t>
  </si>
  <si>
    <t xml:space="preserve">🔴 1–3 High Risk  |  🟡 4–6 Monitor  |  🟢 7–10 Healthy    ·  Factors: Profit, Variance, Cash Position, Outstanding Balance</t>
  </si>
  <si>
    <t xml:space="preserve">Cash Flow Office  |  cfo@cashflowoffice.com  |  cashflowoffice.com  |  © 2026 Darlene Martin  |  Unprotect password: CFO2026</t>
  </si>
  <si>
    <t xml:space="preserve">CASH FLOW OFFICE  |  Job Cost Tracker — Subcontractor (Cash Lag Model)</t>
  </si>
  <si>
    <t xml:space="preserve">← Retainage rate withheld by your GC (typically 5–10%). Drives Retainage Held column.</t>
  </si>
  <si>
    <t xml:space="preserve">INVOICE</t>
  </si>
  <si>
    <t xml:space="preserve">CASH RECEIVED &amp; TIMING</t>
  </si>
  <si>
    <t xml:space="preserve">RETAINAGE</t>
  </si>
  <si>
    <t xml:space="preserve">COSTS</t>
  </si>
  <si>
    <t xml:space="preserve">GROSS PROFIT ▶</t>
  </si>
  <si>
    <t xml:space="preserve">CASH POSITION ▶</t>
  </si>
  <si>
    <t xml:space="preserve">LIEN WAIVER</t>
  </si>
  <si>
    <t xml:space="preserve">Job
Code</t>
  </si>
  <si>
    <t xml:space="preserve">Job Name /
GC Project</t>
  </si>
  <si>
    <t xml:space="preserve">General
Contractor</t>
  </si>
  <si>
    <t xml:space="preserve">Invoice
Amount</t>
  </si>
  <si>
    <t xml:space="preserve">Invoice
Date</t>
  </si>
  <si>
    <t xml:space="preserve">Invoice
# / Ref</t>
  </si>
  <si>
    <t xml:space="preserve">Expected
Pay Date</t>
  </si>
  <si>
    <t xml:space="preserve">Cash
Received</t>
  </si>
  <si>
    <t xml:space="preserve">Days to
Collect ▶</t>
  </si>
  <si>
    <t xml:space="preserve">Labor
Cost</t>
  </si>
  <si>
    <t xml:space="preserve">Materials
Cost</t>
  </si>
  <si>
    <t xml:space="preserve">Gross
Profit ▶</t>
  </si>
  <si>
    <t xml:space="preserve">Cash
Position ▶</t>
  </si>
  <si>
    <t xml:space="preserve">Lien Waiver
Signed?</t>
  </si>
  <si>
    <t xml:space="preserve">CASH LAG SUMMARY</t>
  </si>
  <si>
    <t xml:space="preserve">Total Invoiced</t>
  </si>
  <si>
    <t xml:space="preserve">Outstanding (Not Collected)</t>
  </si>
  <si>
    <t xml:space="preserve">Retainage Held by GC</t>
  </si>
  <si>
    <t xml:space="preserve">Total Labor Cost</t>
  </si>
  <si>
    <t xml:space="preserve">Total Materials Cost</t>
  </si>
  <si>
    <t xml:space="preserve">Total Cost</t>
  </si>
  <si>
    <t xml:space="preserve">Gross Profit ($)</t>
  </si>
  <si>
    <t xml:space="preserve">Gross Profit (%)</t>
  </si>
  <si>
    <t xml:space="preserve">Cash Position</t>
  </si>
  <si>
    <t xml:space="preserve">⚠ Lien Waiver must be signed upon final payment. Unsigned lien waivers = your right to file a mechanics lien is still open. Track this on every job — it's your last line of defense if a GC doesn't pay.</t>
  </si>
  <si>
    <t xml:space="preserve">CASH FLOW OFFICE  |  Job Cost Tracker — Remodeler (Change Order Driven)</t>
  </si>
  <si>
    <t xml:space="preserve">← Retainage rate (if applicable — not all remodel contracts use retainage). Set to 0% if none.</t>
  </si>
  <si>
    <t xml:space="preserve">SUB /
VENDOR</t>
  </si>
  <si>
    <t xml:space="preserve">CONTRACT &amp; CHANGE ORDERS</t>
  </si>
  <si>
    <t xml:space="preserve">REVISED
CONTRACT ▶</t>
  </si>
  <si>
    <t xml:space="preserve">BILLING &amp;
COLLECTIONS</t>
  </si>
  <si>
    <t xml:space="preserve">Scope /
Description</t>
  </si>
  <si>
    <t xml:space="preserve">Sub /
Vendor</t>
  </si>
  <si>
    <t xml:space="preserve">Original
Contract</t>
  </si>
  <si>
    <t xml:space="preserve">Change Order
Amount (+/−)</t>
  </si>
  <si>
    <t xml:space="preserve">CO Status</t>
  </si>
  <si>
    <t xml:space="preserve">Revised
Contract ▶</t>
  </si>
  <si>
    <t xml:space="preserve">Invoiced /
Billed</t>
  </si>
  <si>
    <t xml:space="preserve">Collected</t>
  </si>
  <si>
    <t xml:space="preserve">Sub
Cost</t>
  </si>
  <si>
    <t xml:space="preserve">Cash
Paid</t>
  </si>
  <si>
    <t xml:space="preserve">Demo &amp; Site Prep</t>
  </si>
  <si>
    <t xml:space="preserve">201</t>
  </si>
  <si>
    <t xml:space="preserve">Framing</t>
  </si>
  <si>
    <t xml:space="preserve">301</t>
  </si>
  <si>
    <t xml:space="preserve">Rough Plumbing</t>
  </si>
  <si>
    <t xml:space="preserve">302</t>
  </si>
  <si>
    <t xml:space="preserve">Rough Electrical</t>
  </si>
  <si>
    <t xml:space="preserve">401</t>
  </si>
  <si>
    <t xml:space="preserve">Insulation</t>
  </si>
  <si>
    <t xml:space="preserve">501</t>
  </si>
  <si>
    <t xml:space="preserve">Drywall</t>
  </si>
  <si>
    <t xml:space="preserve">601</t>
  </si>
  <si>
    <t xml:space="preserve">Tile / Flooring</t>
  </si>
  <si>
    <t xml:space="preserve">701</t>
  </si>
  <si>
    <t xml:space="preserve">Cabinets &amp; Millwork</t>
  </si>
  <si>
    <t xml:space="preserve">801</t>
  </si>
  <si>
    <t xml:space="preserve">Painting</t>
  </si>
  <si>
    <t xml:space="preserve">901</t>
  </si>
  <si>
    <t xml:space="preserve">Finish Plumbing</t>
  </si>
  <si>
    <t xml:space="preserve">902</t>
  </si>
  <si>
    <t xml:space="preserve">Finish Electrical</t>
  </si>
  <si>
    <t xml:space="preserve">1001</t>
  </si>
  <si>
    <t xml:space="preserve">Final Clean / Punch</t>
  </si>
  <si>
    <t xml:space="preserve">CHANGE ORDER &amp; PROFIT SUMMARY</t>
  </si>
  <si>
    <t xml:space="preserve">Original Contract Total</t>
  </si>
  <si>
    <t xml:space="preserve">Total Change Orders</t>
  </si>
  <si>
    <t xml:space="preserve">Revised Contract Total</t>
  </si>
  <si>
    <t xml:space="preserve">Total Billed / Invoiced</t>
  </si>
  <si>
    <t xml:space="preserve">Uncollected Balance</t>
  </si>
  <si>
    <t xml:space="preserve">Retainage Held</t>
  </si>
  <si>
    <t xml:space="preserve">Retainage Outstanding</t>
  </si>
  <si>
    <t xml:space="preserve">Total Costs (L+M+S)</t>
  </si>
  <si>
    <t xml:space="preserve">⚠ CO RISK: Never perform work on an unapproved Change Order. Set CO Status to 'Approved' before proceeding. Unapproved COs = work you may never get paid for. | ⚠ RETAINAGE RISK: Collect final payment + retainage release before signing off on completion.</t>
  </si>
  <si>
    <t xml:space="preserve">CASH FLOW OFFICE  |  Cost Code Reference — Common Construction Categories</t>
  </si>
  <si>
    <t xml:space="preserve">These are commonly used construction cost code categories based on CSI MasterFormat conventions. They are NOT universal — every company may use different codes. Use these as a starting point and adjust to match your system.</t>
  </si>
  <si>
    <t xml:space="preserve">Cost Code</t>
  </si>
  <si>
    <t xml:space="preserve">Category Name</t>
  </si>
  <si>
    <t xml:space="preserve">Typical Line Items</t>
  </si>
  <si>
    <t xml:space="preserve">Used By</t>
  </si>
  <si>
    <t xml:space="preserve">── GENERAL CONDITIONS (000–199)</t>
  </si>
  <si>
    <t xml:space="preserve">Project superintendent, PM time on site</t>
  </si>
  <si>
    <t xml:space="preserve">Builder</t>
  </si>
  <si>
    <t xml:space="preserve">Office PM time, scheduling, coordination</t>
  </si>
  <si>
    <t xml:space="preserve">103</t>
  </si>
  <si>
    <t xml:space="preserve">Safety</t>
  </si>
  <si>
    <t xml:space="preserve">Safety equipment, training, signage</t>
  </si>
  <si>
    <t xml:space="preserve">110</t>
  </si>
  <si>
    <t xml:space="preserve">Temp power, water, toilets, fencing</t>
  </si>
  <si>
    <t xml:space="preserve">Builder, Remodeler</t>
  </si>
  <si>
    <t xml:space="preserve">Cleanup / Debris Removal</t>
  </si>
  <si>
    <t xml:space="preserve">Dumpsters, haul-off, final clean</t>
  </si>
  <si>
    <t xml:space="preserve">All</t>
  </si>
  <si>
    <t xml:space="preserve">── SITEWORK (200–299)</t>
  </si>
  <si>
    <t xml:space="preserve">210</t>
  </si>
  <si>
    <t xml:space="preserve">Site Preparation</t>
  </si>
  <si>
    <t xml:space="preserve">Demolition, clearing, grubbing</t>
  </si>
  <si>
    <t xml:space="preserve">Grading, excavation, backfill, compaction</t>
  </si>
  <si>
    <t xml:space="preserve">230</t>
  </si>
  <si>
    <t xml:space="preserve">Utilities — Underground</t>
  </si>
  <si>
    <t xml:space="preserve">Water, sewer, gas, conduit below grade</t>
  </si>
  <si>
    <t xml:space="preserve">Builder, Sub</t>
  </si>
  <si>
    <t xml:space="preserve">240</t>
  </si>
  <si>
    <t xml:space="preserve">Paving / Flatwork</t>
  </si>
  <si>
    <t xml:space="preserve">Driveways, sidewalks, parking, curbs</t>
  </si>
  <si>
    <t xml:space="preserve">── CONCRETE (300–399)</t>
  </si>
  <si>
    <t xml:space="preserve">310</t>
  </si>
  <si>
    <t xml:space="preserve">Foundations</t>
  </si>
  <si>
    <t xml:space="preserve">Footings, piers, stem walls, grade beams</t>
  </si>
  <si>
    <t xml:space="preserve">320</t>
  </si>
  <si>
    <t xml:space="preserve">Slab on Grade</t>
  </si>
  <si>
    <t xml:space="preserve">Floor slabs, SOG, flatwork</t>
  </si>
  <si>
    <t xml:space="preserve">330</t>
  </si>
  <si>
    <t xml:space="preserve">Forming, pouring, finishing labor</t>
  </si>
  <si>
    <t xml:space="preserve">Ready-mix, rebar, wire mesh</t>
  </si>
  <si>
    <t xml:space="preserve">350</t>
  </si>
  <si>
    <t xml:space="preserve">Pump trucks, vibrators, forms rental</t>
  </si>
  <si>
    <t xml:space="preserve">── STRUCTURAL (400–599)</t>
  </si>
  <si>
    <t xml:space="preserve">410</t>
  </si>
  <si>
    <t xml:space="preserve">Masonry</t>
  </si>
  <si>
    <t xml:space="preserve">CMU block, brick, stone, mortar</t>
  </si>
  <si>
    <t xml:space="preserve">Structural Steel</t>
  </si>
  <si>
    <t xml:space="preserve">Beams, columns, joists, decking</t>
  </si>
  <si>
    <t xml:space="preserve">520</t>
  </si>
  <si>
    <t xml:space="preserve">Framing — Wood</t>
  </si>
  <si>
    <t xml:space="preserve">Lumber, LVL, trusses, sheathing</t>
  </si>
  <si>
    <t xml:space="preserve">Builder, Remodeler, Sub</t>
  </si>
  <si>
    <t xml:space="preserve">530</t>
  </si>
  <si>
    <t xml:space="preserve">Framing Labor</t>
  </si>
  <si>
    <t xml:space="preserve">Framing crew, layout, blocking</t>
  </si>
  <si>
    <t xml:space="preserve">── EXTERIOR (600–699)</t>
  </si>
  <si>
    <t xml:space="preserve">610</t>
  </si>
  <si>
    <t xml:space="preserve">Shingles, tile, metal, underlayment, flashing</t>
  </si>
  <si>
    <t xml:space="preserve">620</t>
  </si>
  <si>
    <t xml:space="preserve">Exterior Cladding</t>
  </si>
  <si>
    <t xml:space="preserve">Siding, stucco, EIFS, trim, soffit, fascia</t>
  </si>
  <si>
    <t xml:space="preserve">630</t>
  </si>
  <si>
    <t xml:space="preserve">Windows &amp; Doors</t>
  </si>
  <si>
    <t xml:space="preserve">Supply and install windows, exterior doors</t>
  </si>
  <si>
    <t xml:space="preserve">640</t>
  </si>
  <si>
    <t xml:space="preserve">Waterproofing</t>
  </si>
  <si>
    <t xml:space="preserve">Membrane, sealants, drainage board</t>
  </si>
  <si>
    <t xml:space="preserve">── MEP (700–999)</t>
  </si>
  <si>
    <t xml:space="preserve">710</t>
  </si>
  <si>
    <t xml:space="preserve">HVAC</t>
  </si>
  <si>
    <t xml:space="preserve">Equipment, ductwork, venting, controls</t>
  </si>
  <si>
    <t xml:space="preserve">720</t>
  </si>
  <si>
    <t xml:space="preserve">Plumbing — Rough</t>
  </si>
  <si>
    <t xml:space="preserve">Supply, DWV, underground, stub-outs</t>
  </si>
  <si>
    <t xml:space="preserve">730</t>
  </si>
  <si>
    <t xml:space="preserve">Plumbing — Finish</t>
  </si>
  <si>
    <t xml:space="preserve">Fixtures, trim, appliances, connections</t>
  </si>
  <si>
    <t xml:space="preserve">810</t>
  </si>
  <si>
    <t xml:space="preserve">Electrical — Rough</t>
  </si>
  <si>
    <t xml:space="preserve">Panel, conduit, wire, boxes, rough-in</t>
  </si>
  <si>
    <t xml:space="preserve">820</t>
  </si>
  <si>
    <t xml:space="preserve">Electrical — Finish</t>
  </si>
  <si>
    <t xml:space="preserve">Devices, fixtures, trim, final connections</t>
  </si>
  <si>
    <t xml:space="preserve">Low Voltage / Data</t>
  </si>
  <si>
    <t xml:space="preserve">Security, camera, AV, data, intercoms</t>
  </si>
  <si>
    <t xml:space="preserve">── INTERIOR FINISHES (1000–1499)</t>
  </si>
  <si>
    <t xml:space="preserve">1010</t>
  </si>
  <si>
    <t xml:space="preserve">Batt, spray foam, rigid, blown-in</t>
  </si>
  <si>
    <t xml:space="preserve">1020</t>
  </si>
  <si>
    <t xml:space="preserve">Hanging, taping, finish, texture</t>
  </si>
  <si>
    <t xml:space="preserve">1030</t>
  </si>
  <si>
    <t xml:space="preserve">Painting — Interior</t>
  </si>
  <si>
    <t xml:space="preserve">Prime, paint, ceilings, walls, trim</t>
  </si>
  <si>
    <t xml:space="preserve">1040</t>
  </si>
  <si>
    <t xml:space="preserve">Tile &amp; Stone</t>
  </si>
  <si>
    <t xml:space="preserve">Floor tile, wall tile, backsplash, stone</t>
  </si>
  <si>
    <t xml:space="preserve">1050</t>
  </si>
  <si>
    <t xml:space="preserve">Flooring</t>
  </si>
  <si>
    <t xml:space="preserve">Hardwood, LVP, carpet, installation</t>
  </si>
  <si>
    <t xml:space="preserve">1060</t>
  </si>
  <si>
    <t xml:space="preserve">Kitchen/bath cabinets, built-ins, trim carpentry</t>
  </si>
  <si>
    <t xml:space="preserve">1070</t>
  </si>
  <si>
    <t xml:space="preserve">Countertops</t>
  </si>
  <si>
    <t xml:space="preserve">Granite, quartz, laminate, fabricate &amp; install</t>
  </si>
  <si>
    <t xml:space="preserve">1080</t>
  </si>
  <si>
    <t xml:space="preserve">Interior Doors &amp; Hardware</t>
  </si>
  <si>
    <t xml:space="preserve">Pre-hung doors, slabs, hardware, closets</t>
  </si>
  <si>
    <t xml:space="preserve">── SPECIALTY &amp; OTHER (1500–1999)</t>
  </si>
  <si>
    <t xml:space="preserve">1510</t>
  </si>
  <si>
    <t xml:space="preserve">Appliances</t>
  </si>
  <si>
    <t xml:space="preserve">Supply and install kitchen, laundry appliances</t>
  </si>
  <si>
    <t xml:space="preserve">1520</t>
  </si>
  <si>
    <t xml:space="preserve">Landscaping</t>
  </si>
  <si>
    <t xml:space="preserve">Sod, plants, irrigation, grading, tree work</t>
  </si>
  <si>
    <t xml:space="preserve">1530</t>
  </si>
  <si>
    <t xml:space="preserve">Pool / Hardscape</t>
  </si>
  <si>
    <t xml:space="preserve">Pool, patio, deck, outdoor kitchen, pavers</t>
  </si>
  <si>
    <t xml:space="preserve">Elevator / Specialty</t>
  </si>
  <si>
    <t xml:space="preserve">Elevator, dumbwaiter, specialty systems</t>
  </si>
  <si>
    <t xml:space="preserve">── OVERHEAD &amp; PROFIT (2000+)</t>
  </si>
  <si>
    <t xml:space="preserve">2000</t>
  </si>
  <si>
    <t xml:space="preserve">General Overhead</t>
  </si>
  <si>
    <t xml:space="preserve">Office rent, utilities, admin staff, vehicles</t>
  </si>
  <si>
    <t xml:space="preserve">2001</t>
  </si>
  <si>
    <t xml:space="preserve">GL, builder's risk, WC, bond premiums</t>
  </si>
  <si>
    <t xml:space="preserve">2002</t>
  </si>
  <si>
    <t xml:space="preserve">Warranty Reserve</t>
  </si>
  <si>
    <t xml:space="preserve">Callback allowance, warranty work reserve</t>
  </si>
  <si>
    <t xml:space="preserve">2003</t>
  </si>
  <si>
    <t xml:space="preserve">Profit / Fee</t>
  </si>
  <si>
    <t xml:space="preserve">Builder's profit margin, management fee</t>
  </si>
  <si>
    <t xml:space="preserve">── SUBCONTRACTOR JOB TYPES (Sub Tab Reference)</t>
  </si>
  <si>
    <t xml:space="preserve">SUB-01</t>
  </si>
  <si>
    <t xml:space="preserve">Electrical Sub</t>
  </si>
  <si>
    <t xml:space="preserve">Panel, rough, finish, service, low volt</t>
  </si>
  <si>
    <t xml:space="preserve">Sub</t>
  </si>
  <si>
    <t xml:space="preserve">SUB-02</t>
  </si>
  <si>
    <t xml:space="preserve">Plumbing Sub</t>
  </si>
  <si>
    <t xml:space="preserve">Water, DWV, gas, fixtures, rough + finish</t>
  </si>
  <si>
    <t xml:space="preserve">SUB-03</t>
  </si>
  <si>
    <t xml:space="preserve">HVAC Sub</t>
  </si>
  <si>
    <t xml:space="preserve">Equipment, duct, venting, controls, startup</t>
  </si>
  <si>
    <t xml:space="preserve">SUB-04</t>
  </si>
  <si>
    <t xml:space="preserve">Framing Sub</t>
  </si>
  <si>
    <t xml:space="preserve">Structural framing, sheathing, blocking</t>
  </si>
  <si>
    <t xml:space="preserve">SUB-05</t>
  </si>
  <si>
    <t xml:space="preserve">Roofing Sub</t>
  </si>
  <si>
    <t xml:space="preserve">Tear-off, install, flashing, warranty</t>
  </si>
  <si>
    <t xml:space="preserve">SUB-06</t>
  </si>
  <si>
    <t xml:space="preserve">Drywall Sub</t>
  </si>
  <si>
    <t xml:space="preserve">Hang, tape, texture, finish</t>
  </si>
  <si>
    <t xml:space="preserve">SUB-07</t>
  </si>
  <si>
    <t xml:space="preserve">Painting Sub</t>
  </si>
  <si>
    <t xml:space="preserve">Interior/exterior painting, prime, caulk</t>
  </si>
  <si>
    <t xml:space="preserve">SUB-08</t>
  </si>
  <si>
    <t xml:space="preserve">Tile Sub</t>
  </si>
  <si>
    <t xml:space="preserve">Floor, wall, backsplash, shower, stone</t>
  </si>
  <si>
    <t xml:space="preserve">SUB-09</t>
  </si>
  <si>
    <t xml:space="preserve">Concrete Sub</t>
  </si>
  <si>
    <t xml:space="preserve">Foundations, flatwork, slabs, decorative</t>
  </si>
  <si>
    <t xml:space="preserve">SUB-10</t>
  </si>
  <si>
    <t xml:space="preserve">Masonry Sub</t>
  </si>
  <si>
    <t xml:space="preserve">Block, brick, stone, mortar, waterproofing</t>
  </si>
  <si>
    <t xml:space="preserve">NOTE: Codes follow CSI MasterFormat conventions — widely used in Sage 300, Procore, Viewpoint, Buildertrend. Your GC or accounting system may use different numbering. Cost code columns in all tracker tabs are unlocked for editing.</t>
  </si>
  <si>
    <t xml:space="preserve">CASH FLOW OFFICE  |  Job Cost Tracker v3 — How to Use This Workbook</t>
  </si>
  <si>
    <t xml:space="preserve">This workbook has 5 tabs: Builder, Subcontractor, Remodeler, Cost Code Reference, and Instructions.
Choose the tracker that matches your business type. These are DECISION tools — not accounting reports.
They answer 3 questions instantly:
  1. Am I making money on this job?
  2. Have I collected enough to cover what I've paid?
  3. Is retainage building up and when will I get it back?</t>
  </si>
  <si>
    <t xml:space="preserve">WHICH TAB TO USE</t>
  </si>
  <si>
    <t xml:space="preserve">🏗️ Builder Tab</t>
  </si>
  <si>
    <t xml:space="preserve">Draw-based / staged payment projects. Best for custom home builders and spec builders. Includes Draw # / Milestone column, % Complete, and full retainage tracking.</t>
  </si>
  <si>
    <t xml:space="preserve">🔧 Subcontractor Tab</t>
  </si>
  <si>
    <t xml:space="preserve">Cash lag model. Tracks invoices vs. collections, Days to Collect, GC retainage withheld, and Lien Waiver status. Best for trade contractors (electricians, plumbers, HVAC, etc.).</t>
  </si>
  <si>
    <t xml:space="preserve">🏡 Remodeler Tab</t>
  </si>
  <si>
    <t xml:space="preserve">Change order driven. Tracks CO Status (Requested → Approved → Billed → Collected), retainage, and whether collected cash covers what you've paid. Best for kitchen/bath and renovation contractors.</t>
  </si>
  <si>
    <t xml:space="preserve">RETAINAGE — WHAT IS IT AND WHY IT MATTERS</t>
  </si>
  <si>
    <t xml:space="preserve">What is Retainage?</t>
  </si>
  <si>
    <t xml:space="preserve">Retainage (also called 'retention') is a percentage — typically 5% or 10% — that the owner or GC withholds from every payment until the job is substantially complete. It's your money, but you can't touch it until final acceptance. On a $500K job at 10% retainage, that's $50,000 tied up — sometimes for 6–12 months.</t>
  </si>
  <si>
    <t xml:space="preserve">How to use the Retainage Rate cell</t>
  </si>
  <si>
    <t xml:space="preserve">Enter your contract retainage rate in the yellow cell (B3) at the top of each tab. The Retainage Held column calculates automatically on every billing row. Track Retainage Released manually as the owner releases it at job milestones or final completion.</t>
  </si>
  <si>
    <t xml:space="preserve">CHANGE ORDERS — STATUS MATTERS</t>
  </si>
  <si>
    <t xml:space="preserve">CO Status dropdown (Remodeler)</t>
  </si>
  <si>
    <t xml:space="preserve">Requested = you've asked for it, not yet approved. Approved = GC/owner signed off — you can proceed. Billed = you've invoiced for it. Collected = cash received. ⚠ Never start work on a Requested CO — only proceed once it shows Approved.</t>
  </si>
  <si>
    <t xml:space="preserve">Why this matters</t>
  </si>
  <si>
    <t xml:space="preserve">Change orders are the #1 source of remodeler disputes and unpaid work. If a CO is Requested but not Approved and the project stops, you may have no legal right to collect. The CO Status column keeps this visible at all times.</t>
  </si>
  <si>
    <t xml:space="preserve">LIEN WAIVERS (Subcontractor Tab)</t>
  </si>
  <si>
    <t xml:space="preserve">What is a Lien Waiver?</t>
  </si>
  <si>
    <t xml:space="preserve">A lien waiver is a document you sign when you receive payment, waiving your right to file a mechanics lien for that payment amount. GCs typically require it before releasing payment. Do NOT sign a lien waiver before receiving the check — or before it clears.</t>
  </si>
  <si>
    <t xml:space="preserve">Lien Waiver Signed? column</t>
  </si>
  <si>
    <t xml:space="preserve">Yes = signed and delivered. No = not yet signed — lien rights still open. Partial = conditional waiver signed (you signed for partial payment, lien rights remain for the balance). This column protects you — it shows exactly where your lien rights stand on every job.</t>
  </si>
  <si>
    <t xml:space="preserve">COLUMN COLOR GUIDE</t>
  </si>
  <si>
    <t xml:space="preserve">🟡 Yellow</t>
  </si>
  <si>
    <t xml:space="preserve">Input cells — enter your data here. Never locked.</t>
  </si>
  <si>
    <t xml:space="preserve">🔵 Blue (▶ columns)</t>
  </si>
  <si>
    <t xml:space="preserve">Formula cells — auto-calculated. Locked. Do not overwrite.</t>
  </si>
  <si>
    <t xml:space="preserve">🟣 Purple</t>
  </si>
  <si>
    <t xml:space="preserve">Retainage columns — special attention required. Tracks cash you've earned but can't access yet.</t>
  </si>
  <si>
    <t xml:space="preserve">🟦 Teal</t>
  </si>
  <si>
    <t xml:space="preserve">Lien Waiver column (Sub tab). Legal protection tracking.</t>
  </si>
  <si>
    <t xml:space="preserve">🔴 Red highlight</t>
  </si>
  <si>
    <t xml:space="preserve">Negative cash position, over-budget variance, or unpaid/unsigned items. Needs attention.</t>
  </si>
  <si>
    <t xml:space="preserve">🟢 Green highlight</t>
  </si>
  <si>
    <t xml:space="preserve">Positive cash position or favorable variance. Healthy.</t>
  </si>
  <si>
    <t xml:space="preserve">PROTECTION NOTES</t>
  </si>
  <si>
    <t xml:space="preserve">Formula cells are locked</t>
  </si>
  <si>
    <t xml:space="preserve">Blue cells and headers are protected from accidental edits. To unprotect: Review → Unprotect Sheet → Password: CFO2026</t>
  </si>
  <si>
    <t xml:space="preserve">Input cells are always editable</t>
  </si>
  <si>
    <t xml:space="preserve">No password needed for normal data entry.</t>
  </si>
</sst>
</file>

<file path=xl/styles.xml><?xml version="1.0" encoding="utf-8"?>
<styleSheet xmlns="http://schemas.openxmlformats.org/spreadsheetml/2006/main">
  <numFmts count="7">
    <numFmt numFmtId="164" formatCode="General"/>
    <numFmt numFmtId="165" formatCode="0%"/>
    <numFmt numFmtId="166" formatCode="\$#,##0;&quot;($&quot;#,##0\);\-"/>
    <numFmt numFmtId="167" formatCode="0.0%;\(0.0%\);\-"/>
    <numFmt numFmtId="168" formatCode="General"/>
    <numFmt numFmtId="169" formatCode="mm/dd/yyyy"/>
    <numFmt numFmtId="170" formatCode="0;\(0\);\-"/>
  </numFmts>
  <fonts count="22">
    <font>
      <sz val="11"/>
      <color theme="1"/>
      <name val="Calibri"/>
      <family val="2"/>
      <charset val="1"/>
    </font>
    <font>
      <sz val="10"/>
      <name val="Arial"/>
      <family val="0"/>
    </font>
    <font>
      <sz val="10"/>
      <name val="Arial"/>
      <family val="0"/>
    </font>
    <font>
      <sz val="10"/>
      <name val="Arial"/>
      <family val="0"/>
    </font>
    <font>
      <b val="true"/>
      <sz val="13"/>
      <color rgb="FFFFFFFF"/>
      <name val="Arial"/>
      <family val="0"/>
      <charset val="1"/>
    </font>
    <font>
      <b val="true"/>
      <sz val="10"/>
      <color rgb="FFFFFFFF"/>
      <name val="Arial"/>
      <family val="0"/>
      <charset val="1"/>
    </font>
    <font>
      <sz val="10"/>
      <name val="Arial"/>
      <family val="0"/>
      <charset val="1"/>
    </font>
    <font>
      <b val="true"/>
      <sz val="10"/>
      <name val="Arial"/>
      <family val="0"/>
      <charset val="1"/>
    </font>
    <font>
      <i val="true"/>
      <sz val="9"/>
      <color rgb="FF6C3483"/>
      <name val="Arial"/>
      <family val="0"/>
      <charset val="1"/>
    </font>
    <font>
      <b val="true"/>
      <sz val="9"/>
      <color rgb="FFFFFFFF"/>
      <name val="Arial"/>
      <family val="0"/>
      <charset val="1"/>
    </font>
    <font>
      <sz val="10"/>
      <color rgb="FF000000"/>
      <name val="Arial"/>
      <family val="0"/>
      <charset val="1"/>
    </font>
    <font>
      <b val="true"/>
      <sz val="11"/>
      <color rgb="FFFFFFFF"/>
      <name val="Arial"/>
      <family val="0"/>
      <charset val="1"/>
    </font>
    <font>
      <b val="true"/>
      <sz val="10"/>
      <color rgb="FF6C3483"/>
      <name val="Arial"/>
      <family val="0"/>
      <charset val="1"/>
    </font>
    <font>
      <b val="true"/>
      <sz val="16"/>
      <name val="Arial"/>
      <family val="0"/>
      <charset val="1"/>
    </font>
    <font>
      <i val="true"/>
      <sz val="9"/>
      <color rgb="FF566573"/>
      <name val="Arial"/>
      <family val="0"/>
      <charset val="1"/>
    </font>
    <font>
      <i val="true"/>
      <sz val="9"/>
      <color rgb="FFFFFFFF"/>
      <name val="Arial"/>
      <family val="0"/>
      <charset val="1"/>
    </font>
    <font>
      <i val="true"/>
      <sz val="9"/>
      <color rgb="FF0E6655"/>
      <name val="Arial"/>
      <family val="0"/>
      <charset val="1"/>
    </font>
    <font>
      <i val="true"/>
      <sz val="9"/>
      <color rgb="FFE74C3C"/>
      <name val="Arial"/>
      <family val="0"/>
      <charset val="1"/>
    </font>
    <font>
      <i val="true"/>
      <sz val="10"/>
      <color rgb="FF1F2D3D"/>
      <name val="Arial"/>
      <family val="0"/>
      <charset val="1"/>
    </font>
    <font>
      <b val="true"/>
      <sz val="10"/>
      <color rgb="FF2E5F8A"/>
      <name val="Arial"/>
      <family val="0"/>
      <charset val="1"/>
    </font>
    <font>
      <i val="true"/>
      <sz val="11"/>
      <color rgb="FF1F2D3D"/>
      <name val="Arial"/>
      <family val="0"/>
      <charset val="1"/>
    </font>
    <font>
      <b val="true"/>
      <sz val="10"/>
      <color rgb="FF1F2D3D"/>
      <name val="Arial"/>
      <family val="0"/>
      <charset val="1"/>
    </font>
  </fonts>
  <fills count="15">
    <fill>
      <patternFill patternType="none"/>
    </fill>
    <fill>
      <patternFill patternType="gray125"/>
    </fill>
    <fill>
      <patternFill patternType="solid">
        <fgColor rgb="FF1F2D3D"/>
        <bgColor rgb="FF333300"/>
      </patternFill>
    </fill>
    <fill>
      <patternFill patternType="solid">
        <fgColor rgb="FF2E5F8A"/>
        <bgColor rgb="FF1A5276"/>
      </patternFill>
    </fill>
    <fill>
      <patternFill patternType="solid">
        <fgColor rgb="FFFFF9C4"/>
        <bgColor rgb="FFFEF9E7"/>
      </patternFill>
    </fill>
    <fill>
      <patternFill patternType="solid">
        <fgColor rgb="FF6C3483"/>
        <bgColor rgb="FF993366"/>
      </patternFill>
    </fill>
    <fill>
      <patternFill patternType="solid">
        <fgColor rgb="FFE8DAEF"/>
        <bgColor rgb="FFFADBD8"/>
      </patternFill>
    </fill>
    <fill>
      <patternFill patternType="solid">
        <fgColor rgb="FF566573"/>
        <bgColor rgb="FF2E5F8A"/>
      </patternFill>
    </fill>
    <fill>
      <patternFill patternType="solid">
        <fgColor rgb="FFF2F3F4"/>
        <bgColor rgb="FFFEF9E7"/>
      </patternFill>
    </fill>
    <fill>
      <patternFill patternType="solid">
        <fgColor rgb="FFD6E4F0"/>
        <bgColor rgb="FFD6EAF8"/>
      </patternFill>
    </fill>
    <fill>
      <patternFill patternType="solid">
        <fgColor rgb="FFFFFFFF"/>
        <bgColor rgb="FFFEF9E7"/>
      </patternFill>
    </fill>
    <fill>
      <patternFill patternType="solid">
        <fgColor rgb="FF1A6B3C"/>
        <bgColor rgb="FF0E6655"/>
      </patternFill>
    </fill>
    <fill>
      <patternFill patternType="solid">
        <fgColor rgb="FF0E6655"/>
        <bgColor rgb="FF1A6B3C"/>
      </patternFill>
    </fill>
    <fill>
      <patternFill patternType="solid">
        <fgColor rgb="FFD0ECE7"/>
        <bgColor rgb="FFD6EAF8"/>
      </patternFill>
    </fill>
    <fill>
      <patternFill patternType="solid">
        <fgColor rgb="FFFADBD8"/>
        <bgColor rgb="FFE8DAEF"/>
      </patternFill>
    </fill>
  </fills>
  <borders count="3">
    <border diagonalUp="false" diagonalDown="false">
      <left/>
      <right/>
      <top/>
      <bottom/>
      <diagonal/>
    </border>
    <border diagonalUp="false" diagonalDown="false">
      <left style="thin">
        <color rgb="FFBFC9CA"/>
      </left>
      <right style="thin">
        <color rgb="FFBFC9CA"/>
      </right>
      <top style="thin">
        <color rgb="FFBFC9CA"/>
      </top>
      <bottom style="thin">
        <color rgb="FFBFC9CA"/>
      </bottom>
      <diagonal/>
    </border>
    <border diagonalUp="false" diagonalDown="false">
      <left style="thin">
        <color rgb="FFBFC9CA"/>
      </left>
      <right/>
      <top style="thin">
        <color rgb="FFBFC9CA"/>
      </top>
      <bottom style="thin">
        <color rgb="FFBFC9C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3" borderId="1" xfId="0" applyFont="true" applyBorder="true" applyAlignment="true" applyProtection="false">
      <alignment horizontal="right" vertical="center" textRotation="0" wrapText="false" indent="0" shrinkToFit="false"/>
      <protection locked="true" hidden="false"/>
    </xf>
    <xf numFmtId="164" fontId="6" fillId="4" borderId="1" xfId="0" applyFont="true" applyBorder="true" applyAlignment="true" applyProtection="true">
      <alignment horizontal="left" vertical="center" textRotation="0" wrapText="false" indent="0" shrinkToFit="false"/>
      <protection locked="false" hidden="false"/>
    </xf>
    <xf numFmtId="164" fontId="5" fillId="5" borderId="1" xfId="0" applyFont="true" applyBorder="true" applyAlignment="true" applyProtection="false">
      <alignment horizontal="right" vertical="center" textRotation="0" wrapText="false" indent="0" shrinkToFit="false"/>
      <protection locked="true" hidden="false"/>
    </xf>
    <xf numFmtId="165" fontId="7" fillId="4" borderId="1" xfId="0" applyFont="true" applyBorder="true" applyAlignment="true" applyProtection="true">
      <alignment horizontal="center" vertical="center" textRotation="0" wrapText="false" indent="0" shrinkToFit="false"/>
      <protection locked="false" hidden="false"/>
    </xf>
    <xf numFmtId="164" fontId="8" fillId="6" borderId="1" xfId="0" applyFont="true" applyBorder="true" applyAlignment="false" applyProtection="false">
      <alignment horizontal="general" vertical="bottom" textRotation="0" wrapText="false" indent="0" shrinkToFit="false"/>
      <protection locked="true" hidden="false"/>
    </xf>
    <xf numFmtId="164" fontId="9" fillId="2" borderId="2" xfId="0" applyFont="true" applyBorder="true" applyAlignment="true" applyProtection="false">
      <alignment horizontal="center" vertical="center" textRotation="0" wrapText="true" indent="0" shrinkToFit="false"/>
      <protection locked="true" hidden="false"/>
    </xf>
    <xf numFmtId="164" fontId="9" fillId="3" borderId="2" xfId="0" applyFont="true" applyBorder="true" applyAlignment="true" applyProtection="false">
      <alignment horizontal="center" vertical="center" textRotation="0" wrapText="true" indent="0" shrinkToFit="false"/>
      <protection locked="true" hidden="false"/>
    </xf>
    <xf numFmtId="164" fontId="9" fillId="7" borderId="2" xfId="0" applyFont="true" applyBorder="true" applyAlignment="true" applyProtection="false">
      <alignment horizontal="center" vertical="center" textRotation="0" wrapText="true" indent="0" shrinkToFit="false"/>
      <protection locked="true" hidden="false"/>
    </xf>
    <xf numFmtId="164" fontId="9" fillId="5" borderId="2" xfId="0" applyFont="true" applyBorder="true" applyAlignment="true" applyProtection="false">
      <alignment horizontal="center" vertical="center" textRotation="0" wrapText="true" indent="0" shrinkToFit="false"/>
      <protection locked="true" hidden="false"/>
    </xf>
    <xf numFmtId="164" fontId="9" fillId="7" borderId="1" xfId="0" applyFont="true" applyBorder="true" applyAlignment="true" applyProtection="false">
      <alignment horizontal="center" vertical="center" textRotation="0" wrapText="tru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4" fontId="9" fillId="5" borderId="1" xfId="0" applyFont="true" applyBorder="true" applyAlignment="true" applyProtection="false">
      <alignment horizontal="center" vertical="center" textRotation="0" wrapText="true" indent="0" shrinkToFit="false"/>
      <protection locked="true" hidden="false"/>
    </xf>
    <xf numFmtId="164" fontId="6" fillId="8" borderId="1" xfId="0" applyFont="true" applyBorder="true" applyAlignment="true" applyProtection="true">
      <alignment horizontal="center" vertical="center" textRotation="0" wrapText="false" indent="0" shrinkToFit="false"/>
      <protection locked="false" hidden="false"/>
    </xf>
    <xf numFmtId="164" fontId="6" fillId="8" borderId="1" xfId="0" applyFont="true" applyBorder="true" applyAlignment="true" applyProtection="true">
      <alignment horizontal="left" vertical="center" textRotation="0" wrapText="false" indent="0" shrinkToFit="false"/>
      <protection locked="false" hidden="false"/>
    </xf>
    <xf numFmtId="166" fontId="6" fillId="8" borderId="1" xfId="0" applyFont="true" applyBorder="true" applyAlignment="true" applyProtection="true">
      <alignment horizontal="right" vertical="center" textRotation="0" wrapText="false" indent="0" shrinkToFit="false"/>
      <protection locked="false" hidden="false"/>
    </xf>
    <xf numFmtId="166" fontId="10" fillId="9" borderId="1" xfId="0" applyFont="true" applyBorder="true" applyAlignment="true" applyProtection="false">
      <alignment horizontal="right" vertical="center" textRotation="0" wrapText="false" indent="0" shrinkToFit="false"/>
      <protection locked="true" hidden="false"/>
    </xf>
    <xf numFmtId="167" fontId="10" fillId="9" borderId="1" xfId="0" applyFont="true" applyBorder="true" applyAlignment="true" applyProtection="false">
      <alignment horizontal="right" vertical="center" textRotation="0" wrapText="false" indent="0" shrinkToFit="false"/>
      <protection locked="true" hidden="false"/>
    </xf>
    <xf numFmtId="164" fontId="0" fillId="8" borderId="1" xfId="0" applyFont="false" applyBorder="true" applyAlignment="true" applyProtection="true">
      <alignment horizontal="center" vertical="center" textRotation="0" wrapText="false" indent="0" shrinkToFit="false"/>
      <protection locked="false" hidden="false"/>
    </xf>
    <xf numFmtId="164" fontId="6" fillId="10" borderId="1" xfId="0" applyFont="true" applyBorder="true" applyAlignment="true" applyProtection="true">
      <alignment horizontal="center" vertical="center" textRotation="0" wrapText="false" indent="0" shrinkToFit="false"/>
      <protection locked="false" hidden="false"/>
    </xf>
    <xf numFmtId="164" fontId="6" fillId="10" borderId="1" xfId="0" applyFont="true" applyBorder="true" applyAlignment="true" applyProtection="true">
      <alignment horizontal="left" vertical="center" textRotation="0" wrapText="false" indent="0" shrinkToFit="false"/>
      <protection locked="false" hidden="false"/>
    </xf>
    <xf numFmtId="166" fontId="6" fillId="10" borderId="1" xfId="0" applyFont="true" applyBorder="true" applyAlignment="true" applyProtection="true">
      <alignment horizontal="right" vertical="center" textRotation="0" wrapText="false" indent="0" shrinkToFit="false"/>
      <protection locked="false" hidden="false"/>
    </xf>
    <xf numFmtId="164" fontId="0" fillId="10" borderId="1" xfId="0" applyFont="false" applyBorder="true" applyAlignment="true" applyProtection="true">
      <alignment horizontal="center" vertical="center" textRotation="0" wrapText="false" indent="0" shrinkToFit="false"/>
      <protection locked="false" hidden="false"/>
    </xf>
    <xf numFmtId="164" fontId="5" fillId="2" borderId="2" xfId="0" applyFont="true" applyBorder="true" applyAlignment="true" applyProtection="false">
      <alignment horizontal="center" vertical="center" textRotation="0" wrapText="false" indent="0" shrinkToFit="false"/>
      <protection locked="true" hidden="false"/>
    </xf>
    <xf numFmtId="166" fontId="5" fillId="2" borderId="1" xfId="0" applyFont="true" applyBorder="true" applyAlignment="true" applyProtection="false">
      <alignment horizontal="right" vertical="center" textRotation="0" wrapText="false" indent="0" shrinkToFit="false"/>
      <protection locked="true" hidden="false"/>
    </xf>
    <xf numFmtId="164" fontId="7" fillId="8" borderId="2" xfId="0" applyFont="true" applyBorder="true" applyAlignment="true" applyProtection="false">
      <alignment horizontal="left" vertical="center" textRotation="0" wrapText="false" indent="1" shrinkToFit="false"/>
      <protection locked="true" hidden="false"/>
    </xf>
    <xf numFmtId="164" fontId="5" fillId="11" borderId="2" xfId="0" applyFont="true" applyBorder="true" applyAlignment="true" applyProtection="false">
      <alignment horizontal="center" vertical="center" textRotation="0" wrapText="false" indent="0" shrinkToFit="false"/>
      <protection locked="true" hidden="false"/>
    </xf>
    <xf numFmtId="166" fontId="5" fillId="11" borderId="1" xfId="0" applyFont="true" applyBorder="true" applyAlignment="true" applyProtection="false">
      <alignment horizontal="right" vertical="center" textRotation="0" wrapText="false" indent="0" shrinkToFit="false"/>
      <protection locked="true" hidden="false"/>
    </xf>
    <xf numFmtId="164" fontId="11" fillId="3" borderId="2" xfId="0" applyFont="true" applyBorder="true" applyAlignment="true" applyProtection="false">
      <alignment horizontal="center" vertical="center" textRotation="0" wrapText="false" indent="0" shrinkToFit="false"/>
      <protection locked="true" hidden="false"/>
    </xf>
    <xf numFmtId="166" fontId="7" fillId="9" borderId="1" xfId="0" applyFont="true" applyBorder="true" applyAlignment="true" applyProtection="false">
      <alignment horizontal="right" vertical="center" textRotation="0" wrapText="false" indent="0" shrinkToFit="false"/>
      <protection locked="true" hidden="false"/>
    </xf>
    <xf numFmtId="164" fontId="7" fillId="10" borderId="2" xfId="0" applyFont="true" applyBorder="true" applyAlignment="true" applyProtection="false">
      <alignment horizontal="left" vertical="center" textRotation="0" wrapText="false" indent="1" shrinkToFit="false"/>
      <protection locked="true" hidden="false"/>
    </xf>
    <xf numFmtId="166" fontId="12" fillId="6" borderId="1" xfId="0" applyFont="true" applyBorder="true" applyAlignment="true" applyProtection="false">
      <alignment horizontal="right" vertical="center" textRotation="0" wrapText="false" indent="0" shrinkToFit="false"/>
      <protection locked="true" hidden="false"/>
    </xf>
    <xf numFmtId="167" fontId="7" fillId="9" borderId="1" xfId="0" applyFont="true" applyBorder="true" applyAlignment="true" applyProtection="false">
      <alignment horizontal="right" vertical="center" textRotation="0" wrapText="false" indent="0" shrinkToFit="false"/>
      <protection locked="true" hidden="false"/>
    </xf>
    <xf numFmtId="164" fontId="8" fillId="6" borderId="2" xfId="0" applyFont="true" applyBorder="true" applyAlignment="false" applyProtection="false">
      <alignment horizontal="general" vertical="bottom" textRotation="0" wrapText="false" indent="0" shrinkToFit="false"/>
      <protection locked="true" hidden="false"/>
    </xf>
    <xf numFmtId="168" fontId="13" fillId="9" borderId="1" xfId="0" applyFont="true" applyBorder="true" applyAlignment="true" applyProtection="false">
      <alignment horizontal="center" vertical="center" textRotation="0" wrapText="false" indent="0" shrinkToFit="false"/>
      <protection locked="true" hidden="false"/>
    </xf>
    <xf numFmtId="164" fontId="14" fillId="10" borderId="2" xfId="0" applyFont="true" applyBorder="true" applyAlignment="true" applyProtection="false">
      <alignment horizontal="center" vertical="center" textRotation="0" wrapText="false" indent="0" shrinkToFit="false"/>
      <protection locked="true" hidden="false"/>
    </xf>
    <xf numFmtId="164" fontId="15" fillId="2" borderId="0" xfId="0" applyFont="true" applyBorder="true" applyAlignment="true" applyProtection="false">
      <alignment horizontal="center" vertical="center" textRotation="0" wrapText="false" indent="0" shrinkToFit="false"/>
      <protection locked="true" hidden="false"/>
    </xf>
    <xf numFmtId="164" fontId="9" fillId="11" borderId="2" xfId="0" applyFont="true" applyBorder="true" applyAlignment="true" applyProtection="false">
      <alignment horizontal="center" vertical="center" textRotation="0" wrapText="true" indent="0" shrinkToFit="false"/>
      <protection locked="true" hidden="false"/>
    </xf>
    <xf numFmtId="164" fontId="9" fillId="12" borderId="1" xfId="0" applyFont="true" applyBorder="true" applyAlignment="true" applyProtection="false">
      <alignment horizontal="center" vertical="center" textRotation="0" wrapText="true" indent="0" shrinkToFit="false"/>
      <protection locked="true" hidden="false"/>
    </xf>
    <xf numFmtId="164" fontId="9" fillId="11" borderId="1" xfId="0" applyFont="true" applyBorder="true" applyAlignment="true" applyProtection="false">
      <alignment horizontal="center" vertical="center" textRotation="0" wrapText="true" indent="0" shrinkToFit="false"/>
      <protection locked="true" hidden="false"/>
    </xf>
    <xf numFmtId="169" fontId="6" fillId="8" borderId="1" xfId="0" applyFont="true" applyBorder="true" applyAlignment="true" applyProtection="true">
      <alignment horizontal="left" vertical="center" textRotation="0" wrapText="false" indent="0" shrinkToFit="false"/>
      <protection locked="false" hidden="false"/>
    </xf>
    <xf numFmtId="170" fontId="10" fillId="9" borderId="1" xfId="0" applyFont="true" applyBorder="true" applyAlignment="true" applyProtection="false">
      <alignment horizontal="right" vertical="center" textRotation="0" wrapText="false" indent="0" shrinkToFit="false"/>
      <protection locked="true" hidden="false"/>
    </xf>
    <xf numFmtId="166" fontId="10" fillId="6" borderId="1" xfId="0" applyFont="true" applyBorder="true" applyAlignment="true" applyProtection="false">
      <alignment horizontal="right" vertical="center" textRotation="0" wrapText="false" indent="0" shrinkToFit="false"/>
      <protection locked="true" hidden="false"/>
    </xf>
    <xf numFmtId="166" fontId="6" fillId="6" borderId="1" xfId="0" applyFont="true" applyBorder="true" applyAlignment="true" applyProtection="true">
      <alignment horizontal="right" vertical="center" textRotation="0" wrapText="false" indent="0" shrinkToFit="false"/>
      <protection locked="false" hidden="false"/>
    </xf>
    <xf numFmtId="164" fontId="0" fillId="13" borderId="1" xfId="0" applyFont="false" applyBorder="true" applyAlignment="true" applyProtection="true">
      <alignment horizontal="center" vertical="center" textRotation="0" wrapText="false" indent="0" shrinkToFit="false"/>
      <protection locked="false" hidden="false"/>
    </xf>
    <xf numFmtId="169" fontId="6" fillId="10" borderId="1" xfId="0" applyFont="true" applyBorder="true" applyAlignment="true" applyProtection="true">
      <alignment horizontal="left" vertical="center" textRotation="0" wrapText="false" indent="0" shrinkToFit="false"/>
      <protection locked="false" hidden="false"/>
    </xf>
    <xf numFmtId="164" fontId="16" fillId="13" borderId="2" xfId="0" applyFont="true" applyBorder="true" applyAlignment="false" applyProtection="false">
      <alignment horizontal="general" vertical="bottom" textRotation="0" wrapText="false" indent="0" shrinkToFit="false"/>
      <protection locked="true" hidden="false"/>
    </xf>
    <xf numFmtId="164" fontId="17" fillId="14" borderId="2" xfId="0" applyFont="true" applyBorder="true" applyAlignment="false" applyProtection="false">
      <alignment horizontal="general" vertical="bottom" textRotation="0" wrapText="false" indent="0" shrinkToFit="false"/>
      <protection locked="true" hidden="false"/>
    </xf>
    <xf numFmtId="164" fontId="18" fillId="9" borderId="2" xfId="0" applyFont="true" applyBorder="true" applyAlignment="true" applyProtection="false">
      <alignment horizontal="left" vertical="center" textRotation="0" wrapText="true" indent="1" shrinkToFit="false"/>
      <protection locked="true" hidden="false"/>
    </xf>
    <xf numFmtId="164" fontId="5" fillId="3" borderId="1" xfId="0" applyFont="true" applyBorder="true" applyAlignment="true" applyProtection="false">
      <alignment horizontal="center" vertical="center" textRotation="0" wrapText="false" indent="0" shrinkToFit="false"/>
      <protection locked="true" hidden="false"/>
    </xf>
    <xf numFmtId="164" fontId="5" fillId="2" borderId="1" xfId="0" applyFont="true" applyBorder="true" applyAlignment="true" applyProtection="false">
      <alignment horizontal="center" vertical="center" textRotation="0" wrapText="false" indent="0" shrinkToFit="false"/>
      <protection locked="true" hidden="false"/>
    </xf>
    <xf numFmtId="164" fontId="5" fillId="2" borderId="2" xfId="0" applyFont="true" applyBorder="true" applyAlignment="true" applyProtection="false">
      <alignment horizontal="left" vertical="center" textRotation="0" wrapText="false" indent="1" shrinkToFit="false"/>
      <protection locked="true" hidden="false"/>
    </xf>
    <xf numFmtId="164" fontId="19" fillId="8" borderId="1" xfId="0" applyFont="true" applyBorder="true" applyAlignment="true" applyProtection="false">
      <alignment horizontal="center" vertical="center" textRotation="0" wrapText="false" indent="0" shrinkToFit="false"/>
      <protection locked="true" hidden="false"/>
    </xf>
    <xf numFmtId="164" fontId="6" fillId="8" borderId="1" xfId="0" applyFont="true" applyBorder="true" applyAlignment="true" applyProtection="false">
      <alignment horizontal="left" vertical="center" textRotation="0" wrapText="true" indent="1" shrinkToFit="false"/>
      <protection locked="true" hidden="false"/>
    </xf>
    <xf numFmtId="164" fontId="14" fillId="8" borderId="1" xfId="0" applyFont="true" applyBorder="true" applyAlignment="true" applyProtection="false">
      <alignment horizontal="center" vertical="center" textRotation="0" wrapText="false" indent="0" shrinkToFit="false"/>
      <protection locked="true" hidden="false"/>
    </xf>
    <xf numFmtId="164" fontId="19" fillId="10" borderId="1" xfId="0" applyFont="true" applyBorder="true" applyAlignment="true" applyProtection="false">
      <alignment horizontal="center" vertical="center" textRotation="0" wrapText="false" indent="0" shrinkToFit="false"/>
      <protection locked="true" hidden="false"/>
    </xf>
    <xf numFmtId="164" fontId="6" fillId="10" borderId="1" xfId="0" applyFont="true" applyBorder="true" applyAlignment="true" applyProtection="false">
      <alignment horizontal="left" vertical="center" textRotation="0" wrapText="true" indent="1" shrinkToFit="false"/>
      <protection locked="true" hidden="false"/>
    </xf>
    <xf numFmtId="164" fontId="14" fillId="10" borderId="1" xfId="0" applyFont="true" applyBorder="true" applyAlignment="true" applyProtection="false">
      <alignment horizontal="center" vertical="center" textRotation="0" wrapText="false" indent="0" shrinkToFit="false"/>
      <protection locked="true" hidden="false"/>
    </xf>
    <xf numFmtId="164" fontId="14" fillId="4" borderId="2" xfId="0" applyFont="true" applyBorder="true" applyAlignment="true" applyProtection="false">
      <alignment horizontal="left" vertical="center" textRotation="0" wrapText="true" indent="1" shrinkToFit="false"/>
      <protection locked="true" hidden="false"/>
    </xf>
    <xf numFmtId="164" fontId="20" fillId="9" borderId="2" xfId="0" applyFont="true" applyBorder="true" applyAlignment="true" applyProtection="false">
      <alignment horizontal="left" vertical="center" textRotation="0" wrapText="true" indent="1" shrinkToFit="false"/>
      <protection locked="true" hidden="false"/>
    </xf>
    <xf numFmtId="164" fontId="11" fillId="3" borderId="2" xfId="0" applyFont="true" applyBorder="true" applyAlignment="true" applyProtection="false">
      <alignment horizontal="left" vertical="center" textRotation="0" wrapText="false" indent="1" shrinkToFit="false"/>
      <protection locked="true" hidden="false"/>
    </xf>
    <xf numFmtId="164" fontId="21" fillId="10" borderId="1" xfId="0" applyFont="true" applyBorder="true" applyAlignment="true" applyProtection="false">
      <alignment horizontal="left" vertical="top" textRotation="0" wrapText="true" indent="0" shrinkToFit="false"/>
      <protection locked="true" hidden="false"/>
    </xf>
    <xf numFmtId="164" fontId="6" fillId="10" borderId="1" xfId="0" applyFont="true" applyBorder="true" applyAlignment="true" applyProtection="false">
      <alignment horizontal="left" vertical="top" textRotation="0" wrapText="true" indent="0" shrinkToFit="false"/>
      <protection locked="true" hidden="false"/>
    </xf>
    <xf numFmtId="164" fontId="11" fillId="5" borderId="2" xfId="0" applyFont="true" applyBorder="true" applyAlignment="true" applyProtection="false">
      <alignment horizontal="left" vertical="center" textRotation="0" wrapText="false" indent="1" shrinkToFit="false"/>
      <protection locked="true" hidden="false"/>
    </xf>
    <xf numFmtId="164" fontId="21" fillId="6" borderId="1" xfId="0" applyFont="true" applyBorder="true" applyAlignment="true" applyProtection="false">
      <alignment horizontal="left" vertical="top" textRotation="0" wrapText="true" indent="0" shrinkToFit="false"/>
      <protection locked="true" hidden="false"/>
    </xf>
    <xf numFmtId="164" fontId="6" fillId="6" borderId="1" xfId="0" applyFont="true" applyBorder="true" applyAlignment="true" applyProtection="false">
      <alignment horizontal="left" vertical="top" textRotation="0" wrapText="true" indent="0" shrinkToFit="false"/>
      <protection locked="true" hidden="false"/>
    </xf>
    <xf numFmtId="164" fontId="11" fillId="12" borderId="2" xfId="0" applyFont="true" applyBorder="true" applyAlignment="true" applyProtection="false">
      <alignment horizontal="left" vertical="center" textRotation="0" wrapText="false" indent="1" shrinkToFit="false"/>
      <protection locked="true" hidden="false"/>
    </xf>
    <xf numFmtId="164" fontId="21" fillId="13" borderId="1" xfId="0" applyFont="true" applyBorder="true" applyAlignment="true" applyProtection="false">
      <alignment horizontal="left" vertical="top" textRotation="0" wrapText="true" indent="0" shrinkToFit="false"/>
      <protection locked="true" hidden="false"/>
    </xf>
    <xf numFmtId="164" fontId="6" fillId="13" borderId="1" xfId="0" applyFont="true" applyBorder="true" applyAlignment="true" applyProtection="false">
      <alignment horizontal="left" vertical="top" textRotation="0" wrapText="true" indent="0" shrinkToFit="false"/>
      <protection locked="true" hidden="false"/>
    </xf>
    <xf numFmtId="164" fontId="11" fillId="11" borderId="2" xfId="0" applyFont="true" applyBorder="true" applyAlignment="true" applyProtection="false">
      <alignment horizontal="left" vertical="center" textRotation="0" wrapText="false" indent="1" shrinkToFit="false"/>
      <protection locked="true" hidden="false"/>
    </xf>
    <xf numFmtId="164" fontId="11" fillId="7" borderId="2" xfId="0" applyFont="true" applyBorder="true" applyAlignment="true" applyProtection="false">
      <alignment horizontal="left" vertical="center" textRotation="0" wrapText="false" indent="1"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ont>
        <name val="Arial"/>
        <charset val="1"/>
        <family val="0"/>
        <b val="1"/>
        <color rgb="FF1A6B3C"/>
        <sz val="10"/>
      </font>
      <fill>
        <patternFill>
          <bgColor rgb="FFD5F5E3"/>
        </patternFill>
      </fill>
    </dxf>
    <dxf>
      <font>
        <name val="Arial"/>
        <charset val="1"/>
        <family val="0"/>
        <b val="1"/>
        <color rgb="FF7D6608"/>
        <sz val="10"/>
      </font>
      <fill>
        <patternFill>
          <bgColor rgb="FFFFF9C4"/>
        </patternFill>
      </fill>
    </dxf>
    <dxf>
      <font>
        <name val="Arial"/>
        <charset val="1"/>
        <family val="0"/>
        <b val="1"/>
        <color rgb="FFC0392B"/>
        <sz val="10"/>
      </font>
      <fill>
        <patternFill>
          <bgColor rgb="FFFADBD8"/>
        </patternFill>
      </fill>
    </dxf>
    <dxf>
      <font>
        <name val="Arial"/>
        <charset val="1"/>
        <family val="0"/>
        <b val="1"/>
        <color rgb="FF1A5276"/>
        <sz val="10"/>
      </font>
      <fill>
        <patternFill>
          <bgColor rgb="FFD6EAF8"/>
        </patternFill>
      </fill>
    </dxf>
    <dxf>
      <font>
        <name val="Arial"/>
        <charset val="1"/>
        <family val="0"/>
        <b val="1"/>
        <color rgb="FF566573"/>
        <sz val="10"/>
      </font>
      <fill>
        <patternFill>
          <bgColor rgb="FFF2F3F4"/>
        </patternFill>
      </fill>
    </dxf>
    <dxf>
      <font>
        <name val="Arial"/>
        <charset val="1"/>
        <family val="0"/>
        <color rgb="FF6C3483"/>
        <sz val="10"/>
      </font>
      <fill>
        <patternFill>
          <bgColor rgb="FFE8DAEF"/>
        </patternFill>
      </fill>
    </dxf>
    <dxf>
      <font>
        <name val="Arial"/>
        <charset val="1"/>
        <family val="0"/>
        <b val="1"/>
        <color rgb="FFC0392B"/>
        <sz val="16"/>
      </font>
      <fill>
        <patternFill>
          <bgColor rgb="FFFADBD8"/>
        </patternFill>
      </fill>
    </dxf>
    <dxf>
      <font>
        <name val="Arial"/>
        <charset val="1"/>
        <family val="0"/>
        <b val="1"/>
        <color rgb="FF7D6608"/>
        <sz val="16"/>
      </font>
      <fill>
        <patternFill>
          <bgColor rgb="FFFFF9C4"/>
        </patternFill>
      </fill>
    </dxf>
    <dxf>
      <font>
        <name val="Arial"/>
        <charset val="1"/>
        <family val="0"/>
        <b val="1"/>
        <color rgb="FF1A6B3C"/>
        <sz val="16"/>
      </font>
      <fill>
        <patternFill>
          <bgColor rgb="FFD5F5E3"/>
        </patternFill>
      </fill>
    </dxf>
    <dxf>
      <font>
        <name val="Arial"/>
        <charset val="1"/>
        <family val="0"/>
        <b val="1"/>
        <color rgb="FF7D6608"/>
        <sz val="10"/>
      </font>
      <fill>
        <patternFill>
          <bgColor rgb="FFFEF9E7"/>
        </patternFill>
      </fill>
    </dxf>
    <dxf>
      <font>
        <name val="Arial"/>
        <charset val="1"/>
        <family val="0"/>
        <b val="1"/>
        <color rgb="FFFFFFFF"/>
        <sz val="10"/>
      </font>
      <fill>
        <patternFill>
          <bgColor rgb="FF1A6B3C"/>
        </patternFill>
      </fill>
    </dxf>
  </dxfs>
  <colors>
    <indexedColors>
      <rgbColor rgb="FF000000"/>
      <rgbColor rgb="FFFFFFFF"/>
      <rgbColor rgb="FFFF0000"/>
      <rgbColor rgb="FF00FF00"/>
      <rgbColor rgb="FF0000FF"/>
      <rgbColor rgb="FFFFFF00"/>
      <rgbColor rgb="FFFF00FF"/>
      <rgbColor rgb="FF00FFFF"/>
      <rgbColor rgb="FF800000"/>
      <rgbColor rgb="FF1A6B3C"/>
      <rgbColor rgb="FF000080"/>
      <rgbColor rgb="FF7D6608"/>
      <rgbColor rgb="FF800080"/>
      <rgbColor rgb="FF0E6655"/>
      <rgbColor rgb="FFBFC9CA"/>
      <rgbColor rgb="FF808080"/>
      <rgbColor rgb="FF9999FF"/>
      <rgbColor rgb="FF6C3483"/>
      <rgbColor rgb="FFFFF9C4"/>
      <rgbColor rgb="FFD0ECE7"/>
      <rgbColor rgb="FF660066"/>
      <rgbColor rgb="FFFF8080"/>
      <rgbColor rgb="FF2E5F8A"/>
      <rgbColor rgb="FFE8DAEF"/>
      <rgbColor rgb="FF000080"/>
      <rgbColor rgb="FFFF00FF"/>
      <rgbColor rgb="FFFFFF00"/>
      <rgbColor rgb="FF00FFFF"/>
      <rgbColor rgb="FF800080"/>
      <rgbColor rgb="FF800000"/>
      <rgbColor rgb="FF008080"/>
      <rgbColor rgb="FF0000FF"/>
      <rgbColor rgb="FF00CCFF"/>
      <rgbColor rgb="FFD6EAF8"/>
      <rgbColor rgb="FFD5F5E3"/>
      <rgbColor rgb="FFFEF9E7"/>
      <rgbColor rgb="FFD6E4F0"/>
      <rgbColor rgb="FFF2F3F4"/>
      <rgbColor rgb="FFCC99FF"/>
      <rgbColor rgb="FFFADBD8"/>
      <rgbColor rgb="FF3366FF"/>
      <rgbColor rgb="FF33CCCC"/>
      <rgbColor rgb="FF99CC00"/>
      <rgbColor rgb="FFFFCC00"/>
      <rgbColor rgb="FFFF9900"/>
      <rgbColor rgb="FFE74C3C"/>
      <rgbColor rgb="FF566573"/>
      <rgbColor rgb="FF969696"/>
      <rgbColor rgb="FF1A5276"/>
      <rgbColor rgb="FF339966"/>
      <rgbColor rgb="FF003300"/>
      <rgbColor rgb="FF333300"/>
      <rgbColor rgb="FFC0392B"/>
      <rgbColor rgb="FF993366"/>
      <rgbColor rgb="FF333399"/>
      <rgbColor rgb="FF1F2D3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5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2" ySplit="7" topLeftCell="C8" activePane="bottomRight" state="frozen"/>
      <selection pane="topLeft" activeCell="A1" activeCellId="0" sqref="A1"/>
      <selection pane="topRight" activeCell="C1" activeCellId="0" sqref="C1"/>
      <selection pane="bottomLeft" activeCell="A8" activeCellId="0" sqref="A8"/>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4"/>
    <col collapsed="false" customWidth="true" hidden="false" outlineLevel="0" max="3" min="3" style="0" width="24"/>
    <col collapsed="false" customWidth="true" hidden="false" outlineLevel="0" max="4" min="4" style="0" width="20"/>
    <col collapsed="false" customWidth="true" hidden="false" outlineLevel="0" max="10" min="5" style="0" width="13"/>
    <col collapsed="false" customWidth="true" hidden="false" outlineLevel="0" max="12" min="11" style="0" width="14"/>
    <col collapsed="false" customWidth="true" hidden="false" outlineLevel="0" max="13" min="13" style="0" width="16"/>
    <col collapsed="false" customWidth="true" hidden="false" outlineLevel="0" max="15" min="14" style="0" width="13"/>
    <col collapsed="false" customWidth="true" hidden="false" outlineLevel="0" max="16" min="16" style="0" width="11"/>
    <col collapsed="false" customWidth="true" hidden="false" outlineLevel="0" max="21" min="17" style="0" width="13"/>
    <col collapsed="false" customWidth="true" hidden="false" outlineLevel="0" max="22" min="22" style="0" width="14"/>
    <col collapsed="false" customWidth="true" hidden="false" outlineLevel="0" max="23" min="23" style="0" width="13"/>
  </cols>
  <sheetData>
    <row r="1" customFormat="false" ht="36" hidden="false" customHeight="true" outlineLevel="0" collapsed="false">
      <c r="A1" s="1" t="s">
        <v>0</v>
      </c>
      <c r="B1" s="1"/>
      <c r="C1" s="1"/>
      <c r="D1" s="1"/>
      <c r="E1" s="1"/>
      <c r="F1" s="1"/>
      <c r="G1" s="1"/>
      <c r="H1" s="1"/>
      <c r="I1" s="1"/>
      <c r="J1" s="1"/>
      <c r="K1" s="1"/>
      <c r="L1" s="1"/>
      <c r="M1" s="1"/>
      <c r="N1" s="1"/>
      <c r="O1" s="1"/>
      <c r="P1" s="1"/>
      <c r="Q1" s="1"/>
      <c r="R1" s="1"/>
      <c r="S1" s="1"/>
      <c r="T1" s="1"/>
      <c r="U1" s="1"/>
      <c r="V1" s="1"/>
      <c r="W1" s="1"/>
    </row>
    <row r="2" customFormat="false" ht="19.5" hidden="false" customHeight="true" outlineLevel="0" collapsed="false">
      <c r="A2" s="2" t="s">
        <v>1</v>
      </c>
      <c r="B2" s="3"/>
      <c r="C2" s="2" t="s">
        <v>2</v>
      </c>
      <c r="D2" s="3"/>
      <c r="E2" s="2" t="s">
        <v>3</v>
      </c>
      <c r="F2" s="3"/>
      <c r="G2" s="2" t="s">
        <v>4</v>
      </c>
      <c r="H2" s="3"/>
      <c r="I2" s="2" t="s">
        <v>5</v>
      </c>
      <c r="J2" s="3"/>
    </row>
    <row r="3" customFormat="false" ht="19.5" hidden="false" customHeight="true" outlineLevel="0" collapsed="false">
      <c r="A3" s="4" t="s">
        <v>6</v>
      </c>
      <c r="B3" s="5" t="n">
        <v>0.1</v>
      </c>
      <c r="C3" s="6" t="s">
        <v>7</v>
      </c>
      <c r="D3" s="6"/>
      <c r="E3" s="6"/>
      <c r="F3" s="6"/>
      <c r="G3" s="6"/>
      <c r="H3" s="6"/>
    </row>
    <row r="5" customFormat="false" ht="18" hidden="false" customHeight="true" outlineLevel="0" collapsed="false">
      <c r="A5" s="7" t="s">
        <v>8</v>
      </c>
      <c r="B5" s="7"/>
      <c r="C5" s="7"/>
      <c r="D5" s="7"/>
      <c r="E5" s="8" t="s">
        <v>9</v>
      </c>
      <c r="F5" s="8"/>
      <c r="G5" s="8"/>
      <c r="H5" s="8" t="s">
        <v>10</v>
      </c>
      <c r="I5" s="8"/>
      <c r="J5" s="8"/>
      <c r="K5" s="9" t="s">
        <v>11</v>
      </c>
      <c r="L5" s="9"/>
      <c r="M5" s="9"/>
      <c r="N5" s="9"/>
      <c r="O5" s="7" t="s">
        <v>12</v>
      </c>
      <c r="P5" s="7"/>
      <c r="Q5" s="8" t="s">
        <v>13</v>
      </c>
      <c r="R5" s="8"/>
      <c r="S5" s="8"/>
      <c r="T5" s="10" t="s">
        <v>14</v>
      </c>
      <c r="U5" s="10"/>
      <c r="V5" s="10"/>
      <c r="W5" s="11" t="s">
        <v>15</v>
      </c>
    </row>
    <row r="6" customFormat="false" ht="31.5" hidden="false" customHeight="true" outlineLevel="0" collapsed="false">
      <c r="A6" s="12" t="s">
        <v>16</v>
      </c>
      <c r="B6" s="12" t="s">
        <v>17</v>
      </c>
      <c r="C6" s="12" t="s">
        <v>18</v>
      </c>
      <c r="D6" s="12" t="s">
        <v>19</v>
      </c>
      <c r="E6" s="13" t="s">
        <v>20</v>
      </c>
      <c r="F6" s="13" t="s">
        <v>21</v>
      </c>
      <c r="G6" s="13" t="s">
        <v>22</v>
      </c>
      <c r="H6" s="13" t="s">
        <v>23</v>
      </c>
      <c r="I6" s="13" t="s">
        <v>24</v>
      </c>
      <c r="J6" s="13" t="s">
        <v>25</v>
      </c>
      <c r="K6" s="11" t="s">
        <v>26</v>
      </c>
      <c r="L6" s="11" t="s">
        <v>27</v>
      </c>
      <c r="M6" s="11" t="s">
        <v>28</v>
      </c>
      <c r="N6" s="12" t="s">
        <v>29</v>
      </c>
      <c r="O6" s="12" t="s">
        <v>30</v>
      </c>
      <c r="P6" s="12" t="s">
        <v>31</v>
      </c>
      <c r="Q6" s="13" t="s">
        <v>32</v>
      </c>
      <c r="R6" s="14" t="s">
        <v>33</v>
      </c>
      <c r="S6" s="13" t="s">
        <v>34</v>
      </c>
      <c r="T6" s="14" t="s">
        <v>35</v>
      </c>
      <c r="U6" s="14" t="s">
        <v>36</v>
      </c>
      <c r="V6" s="14" t="s">
        <v>37</v>
      </c>
      <c r="W6" s="11" t="s">
        <v>38</v>
      </c>
    </row>
    <row r="8" customFormat="false" ht="18" hidden="false" customHeight="true" outlineLevel="0" collapsed="false">
      <c r="A8" s="15" t="s">
        <v>39</v>
      </c>
      <c r="B8" s="16" t="s">
        <v>40</v>
      </c>
      <c r="C8" s="16" t="s">
        <v>41</v>
      </c>
      <c r="D8" s="16"/>
      <c r="E8" s="17"/>
      <c r="F8" s="17"/>
      <c r="G8" s="18" t="n">
        <f aca="false">E8+F8</f>
        <v>0</v>
      </c>
      <c r="H8" s="17"/>
      <c r="I8" s="17"/>
      <c r="J8" s="18" t="n">
        <f aca="false">H8+I8</f>
        <v>0</v>
      </c>
      <c r="K8" s="17"/>
      <c r="L8" s="17"/>
      <c r="M8" s="17"/>
      <c r="N8" s="18" t="n">
        <f aca="false">K8+L8+M8</f>
        <v>0</v>
      </c>
      <c r="O8" s="18" t="n">
        <f aca="false">G8-N8</f>
        <v>0</v>
      </c>
      <c r="P8" s="19" t="str">
        <f aca="false">IF(G8&lt;&gt;0,N8/G8,"")</f>
        <v/>
      </c>
      <c r="Q8" s="17"/>
      <c r="R8" s="18" t="n">
        <f aca="false">Q8*$B$3</f>
        <v>0</v>
      </c>
      <c r="S8" s="18" t="n">
        <f aca="false">Q8-R8</f>
        <v>0</v>
      </c>
      <c r="T8" s="17"/>
      <c r="U8" s="17"/>
      <c r="V8" s="18" t="n">
        <f aca="false">R8-U8</f>
        <v>0</v>
      </c>
      <c r="W8" s="20"/>
    </row>
    <row r="9" customFormat="false" ht="18" hidden="false" customHeight="true" outlineLevel="0" collapsed="false">
      <c r="A9" s="21" t="s">
        <v>42</v>
      </c>
      <c r="B9" s="22" t="s">
        <v>40</v>
      </c>
      <c r="C9" s="22" t="s">
        <v>43</v>
      </c>
      <c r="D9" s="22"/>
      <c r="E9" s="23"/>
      <c r="F9" s="23"/>
      <c r="G9" s="18" t="n">
        <f aca="false">E9+F9</f>
        <v>0</v>
      </c>
      <c r="H9" s="23"/>
      <c r="I9" s="23"/>
      <c r="J9" s="18" t="n">
        <f aca="false">H9+I9</f>
        <v>0</v>
      </c>
      <c r="K9" s="23"/>
      <c r="L9" s="23"/>
      <c r="M9" s="23"/>
      <c r="N9" s="18" t="n">
        <f aca="false">K9+L9+M9</f>
        <v>0</v>
      </c>
      <c r="O9" s="18" t="n">
        <f aca="false">G9-N9</f>
        <v>0</v>
      </c>
      <c r="P9" s="19" t="str">
        <f aca="false">IF(G9&lt;&gt;0,N9/G9,"")</f>
        <v/>
      </c>
      <c r="Q9" s="23"/>
      <c r="R9" s="18" t="n">
        <f aca="false">Q9*$B$3</f>
        <v>0</v>
      </c>
      <c r="S9" s="18" t="n">
        <f aca="false">Q9-R9</f>
        <v>0</v>
      </c>
      <c r="T9" s="23"/>
      <c r="U9" s="23"/>
      <c r="V9" s="18" t="n">
        <f aca="false">R9-U9</f>
        <v>0</v>
      </c>
      <c r="W9" s="24"/>
    </row>
    <row r="10" customFormat="false" ht="18" hidden="false" customHeight="true" outlineLevel="0" collapsed="false">
      <c r="A10" s="15" t="s">
        <v>44</v>
      </c>
      <c r="B10" s="16" t="s">
        <v>40</v>
      </c>
      <c r="C10" s="16" t="s">
        <v>45</v>
      </c>
      <c r="D10" s="16"/>
      <c r="E10" s="17"/>
      <c r="F10" s="17"/>
      <c r="G10" s="18" t="n">
        <f aca="false">E10+F10</f>
        <v>0</v>
      </c>
      <c r="H10" s="17"/>
      <c r="I10" s="17"/>
      <c r="J10" s="18" t="n">
        <f aca="false">H10+I10</f>
        <v>0</v>
      </c>
      <c r="K10" s="17"/>
      <c r="L10" s="17"/>
      <c r="M10" s="17"/>
      <c r="N10" s="18" t="n">
        <f aca="false">K10+L10+M10</f>
        <v>0</v>
      </c>
      <c r="O10" s="18" t="n">
        <f aca="false">G10-N10</f>
        <v>0</v>
      </c>
      <c r="P10" s="19" t="str">
        <f aca="false">IF(G10&lt;&gt;0,N10/G10,"")</f>
        <v/>
      </c>
      <c r="Q10" s="17"/>
      <c r="R10" s="18" t="n">
        <f aca="false">Q10*$B$3</f>
        <v>0</v>
      </c>
      <c r="S10" s="18" t="n">
        <f aca="false">Q10-R10</f>
        <v>0</v>
      </c>
      <c r="T10" s="17"/>
      <c r="U10" s="17"/>
      <c r="V10" s="18" t="n">
        <f aca="false">R10-U10</f>
        <v>0</v>
      </c>
      <c r="W10" s="20"/>
    </row>
    <row r="11" customFormat="false" ht="18" hidden="false" customHeight="true" outlineLevel="0" collapsed="false">
      <c r="A11" s="21" t="s">
        <v>46</v>
      </c>
      <c r="B11" s="22" t="s">
        <v>47</v>
      </c>
      <c r="C11" s="22" t="s">
        <v>48</v>
      </c>
      <c r="D11" s="22"/>
      <c r="E11" s="23"/>
      <c r="F11" s="23"/>
      <c r="G11" s="18" t="n">
        <f aca="false">E11+F11</f>
        <v>0</v>
      </c>
      <c r="H11" s="23"/>
      <c r="I11" s="23"/>
      <c r="J11" s="18" t="n">
        <f aca="false">H11+I11</f>
        <v>0</v>
      </c>
      <c r="K11" s="23"/>
      <c r="L11" s="23"/>
      <c r="M11" s="23"/>
      <c r="N11" s="18" t="n">
        <f aca="false">K11+L11+M11</f>
        <v>0</v>
      </c>
      <c r="O11" s="18" t="n">
        <f aca="false">G11-N11</f>
        <v>0</v>
      </c>
      <c r="P11" s="19" t="str">
        <f aca="false">IF(G11&lt;&gt;0,N11/G11,"")</f>
        <v/>
      </c>
      <c r="Q11" s="23"/>
      <c r="R11" s="18" t="n">
        <f aca="false">Q11*$B$3</f>
        <v>0</v>
      </c>
      <c r="S11" s="18" t="n">
        <f aca="false">Q11-R11</f>
        <v>0</v>
      </c>
      <c r="T11" s="23"/>
      <c r="U11" s="23"/>
      <c r="V11" s="18" t="n">
        <f aca="false">R11-U11</f>
        <v>0</v>
      </c>
      <c r="W11" s="24"/>
    </row>
    <row r="12" customFormat="false" ht="18" hidden="false" customHeight="true" outlineLevel="0" collapsed="false">
      <c r="A12" s="15" t="s">
        <v>49</v>
      </c>
      <c r="B12" s="16" t="s">
        <v>47</v>
      </c>
      <c r="C12" s="16" t="s">
        <v>50</v>
      </c>
      <c r="D12" s="16"/>
      <c r="E12" s="17"/>
      <c r="F12" s="17"/>
      <c r="G12" s="18" t="n">
        <f aca="false">E12+F12</f>
        <v>0</v>
      </c>
      <c r="H12" s="17"/>
      <c r="I12" s="17"/>
      <c r="J12" s="18" t="n">
        <f aca="false">H12+I12</f>
        <v>0</v>
      </c>
      <c r="K12" s="17"/>
      <c r="L12" s="17"/>
      <c r="M12" s="17"/>
      <c r="N12" s="18" t="n">
        <f aca="false">K12+L12+M12</f>
        <v>0</v>
      </c>
      <c r="O12" s="18" t="n">
        <f aca="false">G12-N12</f>
        <v>0</v>
      </c>
      <c r="P12" s="19" t="str">
        <f aca="false">IF(G12&lt;&gt;0,N12/G12,"")</f>
        <v/>
      </c>
      <c r="Q12" s="17"/>
      <c r="R12" s="18" t="n">
        <f aca="false">Q12*$B$3</f>
        <v>0</v>
      </c>
      <c r="S12" s="18" t="n">
        <f aca="false">Q12-R12</f>
        <v>0</v>
      </c>
      <c r="T12" s="17"/>
      <c r="U12" s="17"/>
      <c r="V12" s="18" t="n">
        <f aca="false">R12-U12</f>
        <v>0</v>
      </c>
      <c r="W12" s="20"/>
    </row>
    <row r="13" customFormat="false" ht="18" hidden="false" customHeight="true" outlineLevel="0" collapsed="false">
      <c r="A13" s="21" t="s">
        <v>49</v>
      </c>
      <c r="B13" s="22" t="s">
        <v>47</v>
      </c>
      <c r="C13" s="22" t="s">
        <v>51</v>
      </c>
      <c r="D13" s="22"/>
      <c r="E13" s="23"/>
      <c r="F13" s="23"/>
      <c r="G13" s="18" t="n">
        <f aca="false">E13+F13</f>
        <v>0</v>
      </c>
      <c r="H13" s="23"/>
      <c r="I13" s="23"/>
      <c r="J13" s="18" t="n">
        <f aca="false">H13+I13</f>
        <v>0</v>
      </c>
      <c r="K13" s="23"/>
      <c r="L13" s="23"/>
      <c r="M13" s="23"/>
      <c r="N13" s="18" t="n">
        <f aca="false">K13+L13+M13</f>
        <v>0</v>
      </c>
      <c r="O13" s="18" t="n">
        <f aca="false">G13-N13</f>
        <v>0</v>
      </c>
      <c r="P13" s="19" t="str">
        <f aca="false">IF(G13&lt;&gt;0,N13/G13,"")</f>
        <v/>
      </c>
      <c r="Q13" s="23"/>
      <c r="R13" s="18" t="n">
        <f aca="false">Q13*$B$3</f>
        <v>0</v>
      </c>
      <c r="S13" s="18" t="n">
        <f aca="false">Q13-R13</f>
        <v>0</v>
      </c>
      <c r="T13" s="23"/>
      <c r="U13" s="23"/>
      <c r="V13" s="18" t="n">
        <f aca="false">R13-U13</f>
        <v>0</v>
      </c>
      <c r="W13" s="24"/>
    </row>
    <row r="14" customFormat="false" ht="18" hidden="false" customHeight="true" outlineLevel="0" collapsed="false">
      <c r="A14" s="15" t="s">
        <v>49</v>
      </c>
      <c r="B14" s="16" t="s">
        <v>47</v>
      </c>
      <c r="C14" s="16" t="s">
        <v>52</v>
      </c>
      <c r="D14" s="16"/>
      <c r="E14" s="17"/>
      <c r="F14" s="17"/>
      <c r="G14" s="18" t="n">
        <f aca="false">E14+F14</f>
        <v>0</v>
      </c>
      <c r="H14" s="17"/>
      <c r="I14" s="17"/>
      <c r="J14" s="18" t="n">
        <f aca="false">H14+I14</f>
        <v>0</v>
      </c>
      <c r="K14" s="17"/>
      <c r="L14" s="17"/>
      <c r="M14" s="17"/>
      <c r="N14" s="18" t="n">
        <f aca="false">K14+L14+M14</f>
        <v>0</v>
      </c>
      <c r="O14" s="18" t="n">
        <f aca="false">G14-N14</f>
        <v>0</v>
      </c>
      <c r="P14" s="19" t="str">
        <f aca="false">IF(G14&lt;&gt;0,N14/G14,"")</f>
        <v/>
      </c>
      <c r="Q14" s="17"/>
      <c r="R14" s="18" t="n">
        <f aca="false">Q14*$B$3</f>
        <v>0</v>
      </c>
      <c r="S14" s="18" t="n">
        <f aca="false">Q14-R14</f>
        <v>0</v>
      </c>
      <c r="T14" s="17"/>
      <c r="U14" s="17"/>
      <c r="V14" s="18" t="n">
        <f aca="false">R14-U14</f>
        <v>0</v>
      </c>
      <c r="W14" s="20"/>
    </row>
    <row r="15" customFormat="false" ht="18" hidden="false" customHeight="true" outlineLevel="0" collapsed="false">
      <c r="A15" s="21" t="s">
        <v>53</v>
      </c>
      <c r="B15" s="22" t="s">
        <v>54</v>
      </c>
      <c r="C15" s="22" t="s">
        <v>55</v>
      </c>
      <c r="D15" s="22"/>
      <c r="E15" s="23"/>
      <c r="F15" s="23"/>
      <c r="G15" s="18" t="n">
        <f aca="false">E15+F15</f>
        <v>0</v>
      </c>
      <c r="H15" s="23"/>
      <c r="I15" s="23"/>
      <c r="J15" s="18" t="n">
        <f aca="false">H15+I15</f>
        <v>0</v>
      </c>
      <c r="K15" s="23"/>
      <c r="L15" s="23"/>
      <c r="M15" s="23"/>
      <c r="N15" s="18" t="n">
        <f aca="false">K15+L15+M15</f>
        <v>0</v>
      </c>
      <c r="O15" s="18" t="n">
        <f aca="false">G15-N15</f>
        <v>0</v>
      </c>
      <c r="P15" s="19" t="str">
        <f aca="false">IF(G15&lt;&gt;0,N15/G15,"")</f>
        <v/>
      </c>
      <c r="Q15" s="23"/>
      <c r="R15" s="18" t="n">
        <f aca="false">Q15*$B$3</f>
        <v>0</v>
      </c>
      <c r="S15" s="18" t="n">
        <f aca="false">Q15-R15</f>
        <v>0</v>
      </c>
      <c r="T15" s="23"/>
      <c r="U15" s="23"/>
      <c r="V15" s="18" t="n">
        <f aca="false">R15-U15</f>
        <v>0</v>
      </c>
      <c r="W15" s="24"/>
    </row>
    <row r="16" customFormat="false" ht="18" hidden="false" customHeight="true" outlineLevel="0" collapsed="false">
      <c r="A16" s="15" t="s">
        <v>56</v>
      </c>
      <c r="B16" s="16" t="s">
        <v>54</v>
      </c>
      <c r="C16" s="16" t="s">
        <v>57</v>
      </c>
      <c r="D16" s="16"/>
      <c r="E16" s="17"/>
      <c r="F16" s="17"/>
      <c r="G16" s="18" t="n">
        <f aca="false">E16+F16</f>
        <v>0</v>
      </c>
      <c r="H16" s="17"/>
      <c r="I16" s="17"/>
      <c r="J16" s="18" t="n">
        <f aca="false">H16+I16</f>
        <v>0</v>
      </c>
      <c r="K16" s="17"/>
      <c r="L16" s="17"/>
      <c r="M16" s="17"/>
      <c r="N16" s="18" t="n">
        <f aca="false">K16+L16+M16</f>
        <v>0</v>
      </c>
      <c r="O16" s="18" t="n">
        <f aca="false">G16-N16</f>
        <v>0</v>
      </c>
      <c r="P16" s="19" t="str">
        <f aca="false">IF(G16&lt;&gt;0,N16/G16,"")</f>
        <v/>
      </c>
      <c r="Q16" s="17"/>
      <c r="R16" s="18" t="n">
        <f aca="false">Q16*$B$3</f>
        <v>0</v>
      </c>
      <c r="S16" s="18" t="n">
        <f aca="false">Q16-R16</f>
        <v>0</v>
      </c>
      <c r="T16" s="17"/>
      <c r="U16" s="17"/>
      <c r="V16" s="18" t="n">
        <f aca="false">R16-U16</f>
        <v>0</v>
      </c>
      <c r="W16" s="20"/>
    </row>
    <row r="17" customFormat="false" ht="18" hidden="false" customHeight="true" outlineLevel="0" collapsed="false">
      <c r="A17" s="21" t="s">
        <v>58</v>
      </c>
      <c r="B17" s="22" t="s">
        <v>59</v>
      </c>
      <c r="C17" s="22" t="s">
        <v>60</v>
      </c>
      <c r="D17" s="22"/>
      <c r="E17" s="23"/>
      <c r="F17" s="23"/>
      <c r="G17" s="18" t="n">
        <f aca="false">E17+F17</f>
        <v>0</v>
      </c>
      <c r="H17" s="23"/>
      <c r="I17" s="23"/>
      <c r="J17" s="18" t="n">
        <f aca="false">H17+I17</f>
        <v>0</v>
      </c>
      <c r="K17" s="23"/>
      <c r="L17" s="23"/>
      <c r="M17" s="23"/>
      <c r="N17" s="18" t="n">
        <f aca="false">K17+L17+M17</f>
        <v>0</v>
      </c>
      <c r="O17" s="18" t="n">
        <f aca="false">G17-N17</f>
        <v>0</v>
      </c>
      <c r="P17" s="19" t="str">
        <f aca="false">IF(G17&lt;&gt;0,N17/G17,"")</f>
        <v/>
      </c>
      <c r="Q17" s="23"/>
      <c r="R17" s="18" t="n">
        <f aca="false">Q17*$B$3</f>
        <v>0</v>
      </c>
      <c r="S17" s="18" t="n">
        <f aca="false">Q17-R17</f>
        <v>0</v>
      </c>
      <c r="T17" s="23"/>
      <c r="U17" s="23"/>
      <c r="V17" s="18" t="n">
        <f aca="false">R17-U17</f>
        <v>0</v>
      </c>
      <c r="W17" s="24"/>
    </row>
    <row r="18" customFormat="false" ht="18" hidden="false" customHeight="true" outlineLevel="0" collapsed="false">
      <c r="A18" s="15" t="s">
        <v>61</v>
      </c>
      <c r="B18" s="16" t="s">
        <v>59</v>
      </c>
      <c r="C18" s="16" t="s">
        <v>62</v>
      </c>
      <c r="D18" s="16"/>
      <c r="E18" s="17"/>
      <c r="F18" s="17"/>
      <c r="G18" s="18" t="n">
        <f aca="false">E18+F18</f>
        <v>0</v>
      </c>
      <c r="H18" s="17"/>
      <c r="I18" s="17"/>
      <c r="J18" s="18" t="n">
        <f aca="false">H18+I18</f>
        <v>0</v>
      </c>
      <c r="K18" s="17"/>
      <c r="L18" s="17"/>
      <c r="M18" s="17"/>
      <c r="N18" s="18" t="n">
        <f aca="false">K18+L18+M18</f>
        <v>0</v>
      </c>
      <c r="O18" s="18" t="n">
        <f aca="false">G18-N18</f>
        <v>0</v>
      </c>
      <c r="P18" s="19" t="str">
        <f aca="false">IF(G18&lt;&gt;0,N18/G18,"")</f>
        <v/>
      </c>
      <c r="Q18" s="17"/>
      <c r="R18" s="18" t="n">
        <f aca="false">Q18*$B$3</f>
        <v>0</v>
      </c>
      <c r="S18" s="18" t="n">
        <f aca="false">Q18-R18</f>
        <v>0</v>
      </c>
      <c r="T18" s="17"/>
      <c r="U18" s="17"/>
      <c r="V18" s="18" t="n">
        <f aca="false">R18-U18</f>
        <v>0</v>
      </c>
      <c r="W18" s="20"/>
    </row>
    <row r="19" customFormat="false" ht="18" hidden="false" customHeight="true" outlineLevel="0" collapsed="false">
      <c r="A19" s="21" t="s">
        <v>63</v>
      </c>
      <c r="B19" s="22" t="s">
        <v>59</v>
      </c>
      <c r="C19" s="22" t="s">
        <v>64</v>
      </c>
      <c r="D19" s="22"/>
      <c r="E19" s="23"/>
      <c r="F19" s="23"/>
      <c r="G19" s="18" t="n">
        <f aca="false">E19+F19</f>
        <v>0</v>
      </c>
      <c r="H19" s="23"/>
      <c r="I19" s="23"/>
      <c r="J19" s="18" t="n">
        <f aca="false">H19+I19</f>
        <v>0</v>
      </c>
      <c r="K19" s="23"/>
      <c r="L19" s="23"/>
      <c r="M19" s="23"/>
      <c r="N19" s="18" t="n">
        <f aca="false">K19+L19+M19</f>
        <v>0</v>
      </c>
      <c r="O19" s="18" t="n">
        <f aca="false">G19-N19</f>
        <v>0</v>
      </c>
      <c r="P19" s="19" t="str">
        <f aca="false">IF(G19&lt;&gt;0,N19/G19,"")</f>
        <v/>
      </c>
      <c r="Q19" s="23"/>
      <c r="R19" s="18" t="n">
        <f aca="false">Q19*$B$3</f>
        <v>0</v>
      </c>
      <c r="S19" s="18" t="n">
        <f aca="false">Q19-R19</f>
        <v>0</v>
      </c>
      <c r="T19" s="23"/>
      <c r="U19" s="23"/>
      <c r="V19" s="18" t="n">
        <f aca="false">R19-U19</f>
        <v>0</v>
      </c>
      <c r="W19" s="24"/>
    </row>
    <row r="20" customFormat="false" ht="18" hidden="false" customHeight="true" outlineLevel="0" collapsed="false">
      <c r="A20" s="15"/>
      <c r="B20" s="16"/>
      <c r="C20" s="16"/>
      <c r="D20" s="16"/>
      <c r="E20" s="17"/>
      <c r="F20" s="17"/>
      <c r="G20" s="18" t="n">
        <f aca="false">E20+F20</f>
        <v>0</v>
      </c>
      <c r="H20" s="17"/>
      <c r="I20" s="17"/>
      <c r="J20" s="18" t="n">
        <f aca="false">H20+I20</f>
        <v>0</v>
      </c>
      <c r="K20" s="17"/>
      <c r="L20" s="17"/>
      <c r="M20" s="17"/>
      <c r="N20" s="18" t="n">
        <f aca="false">K20+L20+M20</f>
        <v>0</v>
      </c>
      <c r="O20" s="18" t="n">
        <f aca="false">G20-N20</f>
        <v>0</v>
      </c>
      <c r="P20" s="19" t="str">
        <f aca="false">IF(G20&lt;&gt;0,N20/G20,"")</f>
        <v/>
      </c>
      <c r="Q20" s="17"/>
      <c r="R20" s="18" t="n">
        <f aca="false">Q20*$B$3</f>
        <v>0</v>
      </c>
      <c r="S20" s="18" t="n">
        <f aca="false">Q20-R20</f>
        <v>0</v>
      </c>
      <c r="T20" s="17"/>
      <c r="U20" s="17"/>
      <c r="V20" s="18" t="n">
        <f aca="false">R20-U20</f>
        <v>0</v>
      </c>
      <c r="W20" s="20"/>
    </row>
    <row r="21" customFormat="false" ht="18" hidden="false" customHeight="true" outlineLevel="0" collapsed="false">
      <c r="A21" s="21"/>
      <c r="B21" s="22"/>
      <c r="C21" s="22"/>
      <c r="D21" s="22"/>
      <c r="E21" s="23"/>
      <c r="F21" s="23"/>
      <c r="G21" s="18" t="n">
        <f aca="false">E21+F21</f>
        <v>0</v>
      </c>
      <c r="H21" s="23"/>
      <c r="I21" s="23"/>
      <c r="J21" s="18" t="n">
        <f aca="false">H21+I21</f>
        <v>0</v>
      </c>
      <c r="K21" s="23"/>
      <c r="L21" s="23"/>
      <c r="M21" s="23"/>
      <c r="N21" s="18" t="n">
        <f aca="false">K21+L21+M21</f>
        <v>0</v>
      </c>
      <c r="O21" s="18" t="n">
        <f aca="false">G21-N21</f>
        <v>0</v>
      </c>
      <c r="P21" s="19" t="str">
        <f aca="false">IF(G21&lt;&gt;0,N21/G21,"")</f>
        <v/>
      </c>
      <c r="Q21" s="23"/>
      <c r="R21" s="18" t="n">
        <f aca="false">Q21*$B$3</f>
        <v>0</v>
      </c>
      <c r="S21" s="18" t="n">
        <f aca="false">Q21-R21</f>
        <v>0</v>
      </c>
      <c r="T21" s="23"/>
      <c r="U21" s="23"/>
      <c r="V21" s="18" t="n">
        <f aca="false">R21-U21</f>
        <v>0</v>
      </c>
      <c r="W21" s="24"/>
    </row>
    <row r="22" customFormat="false" ht="18" hidden="false" customHeight="true" outlineLevel="0" collapsed="false">
      <c r="A22" s="15"/>
      <c r="B22" s="16"/>
      <c r="C22" s="16"/>
      <c r="D22" s="16"/>
      <c r="E22" s="17"/>
      <c r="F22" s="17"/>
      <c r="G22" s="18" t="n">
        <f aca="false">E22+F22</f>
        <v>0</v>
      </c>
      <c r="H22" s="17"/>
      <c r="I22" s="17"/>
      <c r="J22" s="18" t="n">
        <f aca="false">H22+I22</f>
        <v>0</v>
      </c>
      <c r="K22" s="17"/>
      <c r="L22" s="17"/>
      <c r="M22" s="17"/>
      <c r="N22" s="18" t="n">
        <f aca="false">K22+L22+M22</f>
        <v>0</v>
      </c>
      <c r="O22" s="18" t="n">
        <f aca="false">G22-N22</f>
        <v>0</v>
      </c>
      <c r="P22" s="19" t="str">
        <f aca="false">IF(G22&lt;&gt;0,N22/G22,"")</f>
        <v/>
      </c>
      <c r="Q22" s="17"/>
      <c r="R22" s="18" t="n">
        <f aca="false">Q22*$B$3</f>
        <v>0</v>
      </c>
      <c r="S22" s="18" t="n">
        <f aca="false">Q22-R22</f>
        <v>0</v>
      </c>
      <c r="T22" s="17"/>
      <c r="U22" s="17"/>
      <c r="V22" s="18" t="n">
        <f aca="false">R22-U22</f>
        <v>0</v>
      </c>
      <c r="W22" s="20"/>
    </row>
    <row r="23" customFormat="false" ht="18" hidden="false" customHeight="true" outlineLevel="0" collapsed="false">
      <c r="A23" s="21"/>
      <c r="B23" s="22"/>
      <c r="C23" s="22"/>
      <c r="D23" s="22"/>
      <c r="E23" s="23"/>
      <c r="F23" s="23"/>
      <c r="G23" s="18" t="n">
        <f aca="false">E23+F23</f>
        <v>0</v>
      </c>
      <c r="H23" s="23"/>
      <c r="I23" s="23"/>
      <c r="J23" s="18" t="n">
        <f aca="false">H23+I23</f>
        <v>0</v>
      </c>
      <c r="K23" s="23"/>
      <c r="L23" s="23"/>
      <c r="M23" s="23"/>
      <c r="N23" s="18" t="n">
        <f aca="false">K23+L23+M23</f>
        <v>0</v>
      </c>
      <c r="O23" s="18" t="n">
        <f aca="false">G23-N23</f>
        <v>0</v>
      </c>
      <c r="P23" s="19" t="str">
        <f aca="false">IF(G23&lt;&gt;0,N23/G23,"")</f>
        <v/>
      </c>
      <c r="Q23" s="23"/>
      <c r="R23" s="18" t="n">
        <f aca="false">Q23*$B$3</f>
        <v>0</v>
      </c>
      <c r="S23" s="18" t="n">
        <f aca="false">Q23-R23</f>
        <v>0</v>
      </c>
      <c r="T23" s="23"/>
      <c r="U23" s="23"/>
      <c r="V23" s="18" t="n">
        <f aca="false">R23-U23</f>
        <v>0</v>
      </c>
      <c r="W23" s="24"/>
    </row>
    <row r="24" customFormat="false" ht="18" hidden="false" customHeight="true" outlineLevel="0" collapsed="false">
      <c r="A24" s="15"/>
      <c r="B24" s="16"/>
      <c r="C24" s="16"/>
      <c r="D24" s="16"/>
      <c r="E24" s="17"/>
      <c r="F24" s="17"/>
      <c r="G24" s="18" t="n">
        <f aca="false">E24+F24</f>
        <v>0</v>
      </c>
      <c r="H24" s="17"/>
      <c r="I24" s="17"/>
      <c r="J24" s="18" t="n">
        <f aca="false">H24+I24</f>
        <v>0</v>
      </c>
      <c r="K24" s="17"/>
      <c r="L24" s="17"/>
      <c r="M24" s="17"/>
      <c r="N24" s="18" t="n">
        <f aca="false">K24+L24+M24</f>
        <v>0</v>
      </c>
      <c r="O24" s="18" t="n">
        <f aca="false">G24-N24</f>
        <v>0</v>
      </c>
      <c r="P24" s="19" t="str">
        <f aca="false">IF(G24&lt;&gt;0,N24/G24,"")</f>
        <v/>
      </c>
      <c r="Q24" s="17"/>
      <c r="R24" s="18" t="n">
        <f aca="false">Q24*$B$3</f>
        <v>0</v>
      </c>
      <c r="S24" s="18" t="n">
        <f aca="false">Q24-R24</f>
        <v>0</v>
      </c>
      <c r="T24" s="17"/>
      <c r="U24" s="17"/>
      <c r="V24" s="18" t="n">
        <f aca="false">R24-U24</f>
        <v>0</v>
      </c>
      <c r="W24" s="20"/>
    </row>
    <row r="25" customFormat="false" ht="18" hidden="false" customHeight="true" outlineLevel="0" collapsed="false">
      <c r="A25" s="21"/>
      <c r="B25" s="22"/>
      <c r="C25" s="22"/>
      <c r="D25" s="22"/>
      <c r="E25" s="23"/>
      <c r="F25" s="23"/>
      <c r="G25" s="18" t="n">
        <f aca="false">E25+F25</f>
        <v>0</v>
      </c>
      <c r="H25" s="23"/>
      <c r="I25" s="23"/>
      <c r="J25" s="18" t="n">
        <f aca="false">H25+I25</f>
        <v>0</v>
      </c>
      <c r="K25" s="23"/>
      <c r="L25" s="23"/>
      <c r="M25" s="23"/>
      <c r="N25" s="18" t="n">
        <f aca="false">K25+L25+M25</f>
        <v>0</v>
      </c>
      <c r="O25" s="18" t="n">
        <f aca="false">G25-N25</f>
        <v>0</v>
      </c>
      <c r="P25" s="19" t="str">
        <f aca="false">IF(G25&lt;&gt;0,N25/G25,"")</f>
        <v/>
      </c>
      <c r="Q25" s="23"/>
      <c r="R25" s="18" t="n">
        <f aca="false">Q25*$B$3</f>
        <v>0</v>
      </c>
      <c r="S25" s="18" t="n">
        <f aca="false">Q25-R25</f>
        <v>0</v>
      </c>
      <c r="T25" s="23"/>
      <c r="U25" s="23"/>
      <c r="V25" s="18" t="n">
        <f aca="false">R25-U25</f>
        <v>0</v>
      </c>
      <c r="W25" s="24"/>
    </row>
    <row r="26" customFormat="false" ht="18" hidden="false" customHeight="true" outlineLevel="0" collapsed="false">
      <c r="A26" s="15"/>
      <c r="B26" s="16"/>
      <c r="C26" s="16"/>
      <c r="D26" s="16"/>
      <c r="E26" s="17"/>
      <c r="F26" s="17"/>
      <c r="G26" s="18" t="n">
        <f aca="false">E26+F26</f>
        <v>0</v>
      </c>
      <c r="H26" s="17"/>
      <c r="I26" s="17"/>
      <c r="J26" s="18" t="n">
        <f aca="false">H26+I26</f>
        <v>0</v>
      </c>
      <c r="K26" s="17"/>
      <c r="L26" s="17"/>
      <c r="M26" s="17"/>
      <c r="N26" s="18" t="n">
        <f aca="false">K26+L26+M26</f>
        <v>0</v>
      </c>
      <c r="O26" s="18" t="n">
        <f aca="false">G26-N26</f>
        <v>0</v>
      </c>
      <c r="P26" s="19" t="str">
        <f aca="false">IF(G26&lt;&gt;0,N26/G26,"")</f>
        <v/>
      </c>
      <c r="Q26" s="17"/>
      <c r="R26" s="18" t="n">
        <f aca="false">Q26*$B$3</f>
        <v>0</v>
      </c>
      <c r="S26" s="18" t="n">
        <f aca="false">Q26-R26</f>
        <v>0</v>
      </c>
      <c r="T26" s="17"/>
      <c r="U26" s="17"/>
      <c r="V26" s="18" t="n">
        <f aca="false">R26-U26</f>
        <v>0</v>
      </c>
      <c r="W26" s="20"/>
    </row>
    <row r="27" customFormat="false" ht="18" hidden="false" customHeight="true" outlineLevel="0" collapsed="false">
      <c r="A27" s="21"/>
      <c r="B27" s="22"/>
      <c r="C27" s="22"/>
      <c r="D27" s="22"/>
      <c r="E27" s="23"/>
      <c r="F27" s="23"/>
      <c r="G27" s="18" t="n">
        <f aca="false">E27+F27</f>
        <v>0</v>
      </c>
      <c r="H27" s="23"/>
      <c r="I27" s="23"/>
      <c r="J27" s="18" t="n">
        <f aca="false">H27+I27</f>
        <v>0</v>
      </c>
      <c r="K27" s="23"/>
      <c r="L27" s="23"/>
      <c r="M27" s="23"/>
      <c r="N27" s="18" t="n">
        <f aca="false">K27+L27+M27</f>
        <v>0</v>
      </c>
      <c r="O27" s="18" t="n">
        <f aca="false">G27-N27</f>
        <v>0</v>
      </c>
      <c r="P27" s="19" t="str">
        <f aca="false">IF(G27&lt;&gt;0,N27/G27,"")</f>
        <v/>
      </c>
      <c r="Q27" s="23"/>
      <c r="R27" s="18" t="n">
        <f aca="false">Q27*$B$3</f>
        <v>0</v>
      </c>
      <c r="S27" s="18" t="n">
        <f aca="false">Q27-R27</f>
        <v>0</v>
      </c>
      <c r="T27" s="23"/>
      <c r="U27" s="23"/>
      <c r="V27" s="18" t="n">
        <f aca="false">R27-U27</f>
        <v>0</v>
      </c>
      <c r="W27" s="24"/>
    </row>
    <row r="28" customFormat="false" ht="19.5" hidden="false" customHeight="true" outlineLevel="0" collapsed="false">
      <c r="A28" s="25" t="s">
        <v>65</v>
      </c>
      <c r="B28" s="25"/>
      <c r="C28" s="25"/>
      <c r="D28" s="25"/>
      <c r="E28" s="26" t="n">
        <f aca="false">SUM(E8:E27)</f>
        <v>0</v>
      </c>
      <c r="F28" s="26" t="n">
        <f aca="false">SUM(F8:F27)</f>
        <v>0</v>
      </c>
      <c r="G28" s="26" t="n">
        <f aca="false">SUM(G8:G27)</f>
        <v>0</v>
      </c>
      <c r="H28" s="26" t="n">
        <f aca="false">SUM(H8:H27)</f>
        <v>0</v>
      </c>
      <c r="I28" s="26" t="n">
        <f aca="false">SUM(I8:I27)</f>
        <v>0</v>
      </c>
      <c r="J28" s="26" t="n">
        <f aca="false">SUM(J8:J27)</f>
        <v>0</v>
      </c>
      <c r="K28" s="26" t="n">
        <f aca="false">SUM(K8:K27)</f>
        <v>0</v>
      </c>
      <c r="L28" s="26" t="n">
        <f aca="false">SUM(L8:L27)</f>
        <v>0</v>
      </c>
      <c r="M28" s="26" t="n">
        <f aca="false">SUM(M8:M27)</f>
        <v>0</v>
      </c>
      <c r="N28" s="26" t="n">
        <f aca="false">SUM(N8:N27)</f>
        <v>0</v>
      </c>
      <c r="O28" s="26" t="n">
        <f aca="false">SUM(O8:O27)</f>
        <v>0</v>
      </c>
      <c r="P28" s="26" t="n">
        <f aca="false">SUM(P8:P27)</f>
        <v>0</v>
      </c>
      <c r="Q28" s="26" t="n">
        <f aca="false">SUM(Q8:Q27)</f>
        <v>0</v>
      </c>
      <c r="R28" s="26" t="n">
        <f aca="false">SUM(R8:R27)</f>
        <v>0</v>
      </c>
      <c r="S28" s="26" t="n">
        <f aca="false">SUM(S8:S27)</f>
        <v>0</v>
      </c>
      <c r="T28" s="26" t="n">
        <f aca="false">SUM(T8:T27)</f>
        <v>0</v>
      </c>
      <c r="U28" s="26" t="n">
        <f aca="false">SUM(U8:U27)</f>
        <v>0</v>
      </c>
      <c r="V28" s="26" t="n">
        <f aca="false">SUM(V8:V27)</f>
        <v>0</v>
      </c>
    </row>
    <row r="29" customFormat="false" ht="18" hidden="false" customHeight="true" outlineLevel="0" collapsed="false">
      <c r="A29" s="27" t="s">
        <v>66</v>
      </c>
      <c r="B29" s="27"/>
      <c r="C29" s="27"/>
      <c r="D29" s="27"/>
      <c r="E29" s="17"/>
      <c r="F29" s="17"/>
      <c r="G29" s="17"/>
      <c r="H29" s="17"/>
      <c r="I29" s="17"/>
      <c r="J29" s="17"/>
      <c r="K29" s="17"/>
      <c r="L29" s="17"/>
      <c r="M29" s="17"/>
      <c r="N29" s="17"/>
      <c r="O29" s="17"/>
      <c r="P29" s="17"/>
      <c r="Q29" s="17"/>
      <c r="R29" s="17"/>
      <c r="S29" s="17"/>
      <c r="T29" s="17"/>
      <c r="U29" s="17"/>
      <c r="V29" s="17"/>
    </row>
    <row r="30" customFormat="false" ht="18" hidden="false" customHeight="true" outlineLevel="0" collapsed="false">
      <c r="A30" s="27" t="s">
        <v>67</v>
      </c>
      <c r="B30" s="27"/>
      <c r="C30" s="27"/>
      <c r="D30" s="27"/>
      <c r="E30" s="17"/>
      <c r="F30" s="17"/>
      <c r="G30" s="17"/>
      <c r="H30" s="17"/>
      <c r="I30" s="17"/>
      <c r="J30" s="17"/>
      <c r="K30" s="17"/>
      <c r="L30" s="17"/>
      <c r="M30" s="17"/>
      <c r="N30" s="17"/>
      <c r="O30" s="17"/>
      <c r="P30" s="17"/>
      <c r="Q30" s="17"/>
      <c r="R30" s="17"/>
      <c r="S30" s="17"/>
      <c r="T30" s="17"/>
      <c r="U30" s="17"/>
      <c r="V30" s="17"/>
    </row>
    <row r="31" customFormat="false" ht="21.75" hidden="false" customHeight="true" outlineLevel="0" collapsed="false">
      <c r="A31" s="28" t="s">
        <v>68</v>
      </c>
      <c r="B31" s="28"/>
      <c r="C31" s="28"/>
      <c r="D31" s="28"/>
      <c r="E31" s="29" t="n">
        <f aca="false">E28+E29+E30</f>
        <v>0</v>
      </c>
      <c r="F31" s="29" t="n">
        <f aca="false">F28+F29+F30</f>
        <v>0</v>
      </c>
      <c r="G31" s="29" t="n">
        <f aca="false">G28+G29+G30</f>
        <v>0</v>
      </c>
      <c r="H31" s="29" t="n">
        <f aca="false">H28+H29+H30</f>
        <v>0</v>
      </c>
      <c r="I31" s="29" t="n">
        <f aca="false">I28+I29+I30</f>
        <v>0</v>
      </c>
      <c r="J31" s="29" t="n">
        <f aca="false">J28+J29+J30</f>
        <v>0</v>
      </c>
      <c r="K31" s="29" t="n">
        <f aca="false">K28+K29+K30</f>
        <v>0</v>
      </c>
      <c r="L31" s="29" t="n">
        <f aca="false">L28+L29+L30</f>
        <v>0</v>
      </c>
      <c r="M31" s="29" t="n">
        <f aca="false">M28+M29+M30</f>
        <v>0</v>
      </c>
      <c r="N31" s="29" t="n">
        <f aca="false">N28+N29+N30</f>
        <v>0</v>
      </c>
      <c r="O31" s="29" t="n">
        <f aca="false">O28+O29+O30</f>
        <v>0</v>
      </c>
      <c r="P31" s="29" t="n">
        <f aca="false">P28+P29+P30</f>
        <v>0</v>
      </c>
      <c r="Q31" s="29" t="n">
        <f aca="false">Q28+Q29+Q30</f>
        <v>0</v>
      </c>
      <c r="R31" s="29" t="n">
        <f aca="false">R28+R29+R30</f>
        <v>0</v>
      </c>
      <c r="S31" s="29" t="n">
        <f aca="false">S28+S29+S30</f>
        <v>0</v>
      </c>
      <c r="T31" s="29" t="n">
        <f aca="false">T28+T29+T30</f>
        <v>0</v>
      </c>
      <c r="U31" s="29" t="n">
        <f aca="false">U28+U29+U30</f>
        <v>0</v>
      </c>
      <c r="V31" s="29" t="n">
        <f aca="false">V28+V29+V30</f>
        <v>0</v>
      </c>
    </row>
    <row r="33" customFormat="false" ht="19.5" hidden="false" customHeight="true" outlineLevel="0" collapsed="false">
      <c r="A33" s="30" t="s">
        <v>69</v>
      </c>
      <c r="B33" s="30"/>
      <c r="C33" s="30"/>
      <c r="D33" s="30"/>
      <c r="E33" s="30"/>
      <c r="F33" s="30"/>
    </row>
    <row r="34" customFormat="false" ht="18" hidden="false" customHeight="true" outlineLevel="0" collapsed="false">
      <c r="A34" s="27" t="s">
        <v>70</v>
      </c>
      <c r="B34" s="27"/>
      <c r="C34" s="27"/>
      <c r="D34" s="27"/>
      <c r="E34" s="27"/>
      <c r="F34" s="31" t="n">
        <f aca="false">G31</f>
        <v>0</v>
      </c>
    </row>
    <row r="35" customFormat="false" ht="18" hidden="false" customHeight="true" outlineLevel="0" collapsed="false">
      <c r="A35" s="32" t="s">
        <v>71</v>
      </c>
      <c r="B35" s="32"/>
      <c r="C35" s="32"/>
      <c r="D35" s="32"/>
      <c r="E35" s="32"/>
      <c r="F35" s="31" t="n">
        <f aca="false">Q31</f>
        <v>0</v>
      </c>
    </row>
    <row r="36" customFormat="false" ht="18" hidden="false" customHeight="true" outlineLevel="0" collapsed="false">
      <c r="A36" s="27" t="s">
        <v>72</v>
      </c>
      <c r="B36" s="27"/>
      <c r="C36" s="27"/>
      <c r="D36" s="27"/>
      <c r="E36" s="27"/>
      <c r="F36" s="33" t="n">
        <f aca="false">R31</f>
        <v>0</v>
      </c>
    </row>
    <row r="37" customFormat="false" ht="18" hidden="false" customHeight="true" outlineLevel="0" collapsed="false">
      <c r="A37" s="32" t="s">
        <v>73</v>
      </c>
      <c r="B37" s="32"/>
      <c r="C37" s="32"/>
      <c r="D37" s="32"/>
      <c r="E37" s="32"/>
      <c r="F37" s="31" t="n">
        <f aca="false">S31</f>
        <v>0</v>
      </c>
    </row>
    <row r="38" customFormat="false" ht="18" hidden="false" customHeight="true" outlineLevel="0" collapsed="false">
      <c r="A38" s="27" t="s">
        <v>74</v>
      </c>
      <c r="B38" s="27"/>
      <c r="C38" s="27"/>
      <c r="D38" s="27"/>
      <c r="E38" s="27"/>
      <c r="F38" s="31" t="n">
        <f aca="false">T31</f>
        <v>0</v>
      </c>
    </row>
    <row r="39" customFormat="false" ht="18" hidden="false" customHeight="true" outlineLevel="0" collapsed="false">
      <c r="A39" s="32" t="s">
        <v>75</v>
      </c>
      <c r="B39" s="32"/>
      <c r="C39" s="32"/>
      <c r="D39" s="32"/>
      <c r="E39" s="32"/>
      <c r="F39" s="31" t="n">
        <f aca="false">U31</f>
        <v>0</v>
      </c>
    </row>
    <row r="40" customFormat="false" ht="18" hidden="false" customHeight="true" outlineLevel="0" collapsed="false">
      <c r="A40" s="27" t="s">
        <v>76</v>
      </c>
      <c r="B40" s="27"/>
      <c r="C40" s="27"/>
      <c r="D40" s="27"/>
      <c r="E40" s="27"/>
      <c r="F40" s="33" t="n">
        <f aca="false">V31</f>
        <v>0</v>
      </c>
    </row>
    <row r="41" customFormat="false" ht="18" hidden="false" customHeight="true" outlineLevel="0" collapsed="false">
      <c r="A41" s="32" t="s">
        <v>77</v>
      </c>
      <c r="B41" s="32"/>
      <c r="C41" s="32"/>
      <c r="D41" s="32"/>
      <c r="E41" s="32"/>
      <c r="F41" s="31" t="n">
        <f aca="false">N31</f>
        <v>0</v>
      </c>
    </row>
    <row r="42" customFormat="false" ht="18" hidden="false" customHeight="true" outlineLevel="0" collapsed="false">
      <c r="A42" s="27" t="s">
        <v>78</v>
      </c>
      <c r="B42" s="27"/>
      <c r="C42" s="27"/>
      <c r="D42" s="27"/>
      <c r="E42" s="27"/>
      <c r="F42" s="31" t="n">
        <f aca="false">G31-N31</f>
        <v>0</v>
      </c>
    </row>
    <row r="43" customFormat="false" ht="18" hidden="false" customHeight="true" outlineLevel="0" collapsed="false">
      <c r="A43" s="32" t="s">
        <v>79</v>
      </c>
      <c r="B43" s="32"/>
      <c r="C43" s="32"/>
      <c r="D43" s="32"/>
      <c r="E43" s="32"/>
      <c r="F43" s="34" t="n">
        <f aca="false">IF(G31&lt;&gt;0,(G31-N31)/G31,0)</f>
        <v>0</v>
      </c>
    </row>
    <row r="44" customFormat="false" ht="18" hidden="false" customHeight="true" outlineLevel="0" collapsed="false">
      <c r="A44" s="27" t="s">
        <v>80</v>
      </c>
      <c r="B44" s="27"/>
      <c r="C44" s="27"/>
      <c r="D44" s="27"/>
      <c r="E44" s="27"/>
      <c r="F44" s="31" t="n">
        <f aca="false">Q31-T31</f>
        <v>0</v>
      </c>
    </row>
    <row r="45" customFormat="false" ht="18" hidden="false" customHeight="true" outlineLevel="0" collapsed="false">
      <c r="A45" s="32" t="s">
        <v>81</v>
      </c>
      <c r="B45" s="32"/>
      <c r="C45" s="32"/>
      <c r="D45" s="32"/>
      <c r="E45" s="32"/>
      <c r="F45" s="31" t="n">
        <f aca="false">T31-K31</f>
        <v>0</v>
      </c>
    </row>
    <row r="46" customFormat="false" ht="18" hidden="false" customHeight="true" outlineLevel="0" collapsed="false">
      <c r="A46" s="35" t="s">
        <v>82</v>
      </c>
      <c r="B46" s="35"/>
      <c r="C46" s="35"/>
      <c r="D46" s="35"/>
      <c r="E46" s="35"/>
      <c r="F46" s="35"/>
      <c r="G46" s="35"/>
      <c r="H46" s="35"/>
      <c r="I46" s="35"/>
      <c r="J46" s="35"/>
      <c r="K46" s="35"/>
      <c r="L46" s="35"/>
      <c r="M46" s="35"/>
      <c r="N46" s="35"/>
      <c r="O46" s="35"/>
      <c r="P46" s="35"/>
      <c r="Q46" s="35"/>
      <c r="R46" s="35"/>
      <c r="S46" s="35"/>
      <c r="T46" s="35"/>
      <c r="U46" s="35"/>
      <c r="V46" s="35"/>
      <c r="W46" s="35"/>
    </row>
    <row r="48" customFormat="false" ht="19.5" hidden="false" customHeight="true" outlineLevel="0" collapsed="false">
      <c r="A48" s="30" t="s">
        <v>83</v>
      </c>
      <c r="B48" s="30"/>
      <c r="C48" s="30"/>
      <c r="D48" s="30"/>
      <c r="E48" s="30"/>
      <c r="F48" s="30"/>
    </row>
    <row r="49" customFormat="false" ht="18" hidden="false" customHeight="true" outlineLevel="0" collapsed="false">
      <c r="A49" s="27" t="s">
        <v>84</v>
      </c>
      <c r="B49" s="27"/>
      <c r="C49" s="27"/>
      <c r="D49" s="27"/>
      <c r="E49" s="27"/>
      <c r="F49" s="36" t="n">
        <f aca="false">MAX(1,MIN(10,IF(F42&gt;0,3,0)+IF(F42&gt;=0,3,0)+IF(F45&gt;0,2,0)+IF(F40&lt;=0,2,IF(F40&lt;5000,1,0))))</f>
        <v>5</v>
      </c>
    </row>
    <row r="50" customFormat="false" ht="15.75" hidden="false" customHeight="true" outlineLevel="0" collapsed="false">
      <c r="A50" s="37" t="s">
        <v>85</v>
      </c>
      <c r="B50" s="37"/>
      <c r="C50" s="37"/>
      <c r="D50" s="37"/>
      <c r="E50" s="37"/>
      <c r="F50" s="37"/>
    </row>
    <row r="52" customFormat="false" ht="24" hidden="false" customHeight="true" outlineLevel="0" collapsed="false">
      <c r="A52" s="38" t="s">
        <v>86</v>
      </c>
      <c r="B52" s="38"/>
      <c r="C52" s="38"/>
      <c r="D52" s="38"/>
      <c r="E52" s="38"/>
      <c r="F52" s="38"/>
      <c r="G52" s="38"/>
      <c r="H52" s="38"/>
      <c r="I52" s="38"/>
      <c r="J52" s="38"/>
      <c r="K52" s="38"/>
      <c r="L52" s="38"/>
      <c r="M52" s="38"/>
      <c r="N52" s="38"/>
      <c r="O52" s="38"/>
      <c r="P52" s="38"/>
      <c r="Q52" s="38"/>
      <c r="R52" s="38"/>
      <c r="S52" s="38"/>
      <c r="T52" s="38"/>
      <c r="U52" s="38"/>
      <c r="V52" s="38"/>
      <c r="W52" s="38"/>
    </row>
  </sheetData>
  <sheetProtection sheet="true" password="df0a"/>
  <mergeCells count="31">
    <mergeCell ref="A1:W1"/>
    <mergeCell ref="C3:H3"/>
    <mergeCell ref="A5:D5"/>
    <mergeCell ref="E5:G5"/>
    <mergeCell ref="H5:J5"/>
    <mergeCell ref="K5:N5"/>
    <mergeCell ref="O5:P5"/>
    <mergeCell ref="Q5:S5"/>
    <mergeCell ref="T5:V5"/>
    <mergeCell ref="A28:D28"/>
    <mergeCell ref="A29:D29"/>
    <mergeCell ref="A30:D30"/>
    <mergeCell ref="A31:D31"/>
    <mergeCell ref="A33:F33"/>
    <mergeCell ref="A34:E34"/>
    <mergeCell ref="A35:E35"/>
    <mergeCell ref="A36:E36"/>
    <mergeCell ref="A37:E37"/>
    <mergeCell ref="A38:E38"/>
    <mergeCell ref="A39:E39"/>
    <mergeCell ref="A40:E40"/>
    <mergeCell ref="A41:E41"/>
    <mergeCell ref="A42:E42"/>
    <mergeCell ref="A43:E43"/>
    <mergeCell ref="A44:E44"/>
    <mergeCell ref="A45:E45"/>
    <mergeCell ref="A46:W46"/>
    <mergeCell ref="A48:F48"/>
    <mergeCell ref="A49:E49"/>
    <mergeCell ref="A50:F50"/>
    <mergeCell ref="A52:W52"/>
  </mergeCells>
  <conditionalFormatting sqref="W8:W27">
    <cfRule type="cellIs" priority="2" operator="equal" aboveAverage="0" equalAverage="0" bottom="0" percent="0" rank="0" text="" dxfId="0">
      <formula>"On Track"</formula>
    </cfRule>
    <cfRule type="cellIs" priority="3" operator="equal" aboveAverage="0" equalAverage="0" bottom="0" percent="0" rank="0" text="" dxfId="1">
      <formula>"At Risk"</formula>
    </cfRule>
    <cfRule type="cellIs" priority="4" operator="equal" aboveAverage="0" equalAverage="0" bottom="0" percent="0" rank="0" text="" dxfId="2">
      <formula>"Over Budget"</formula>
    </cfRule>
    <cfRule type="cellIs" priority="5" operator="equal" aboveAverage="0" equalAverage="0" bottom="0" percent="0" rank="0" text="" dxfId="3">
      <formula>"Complete"</formula>
    </cfRule>
    <cfRule type="cellIs" priority="6" operator="equal" aboveAverage="0" equalAverage="0" bottom="0" percent="0" rank="0" text="" dxfId="4">
      <formula>"On Hold"</formula>
    </cfRule>
  </conditionalFormatting>
  <conditionalFormatting sqref="O8:O27">
    <cfRule type="cellIs" priority="7" operator="lessThan" aboveAverage="0" equalAverage="0" bottom="0" percent="0" rank="0" text="" dxfId="2">
      <formula>0</formula>
    </cfRule>
    <cfRule type="cellIs" priority="8" operator="greaterThan" aboveAverage="0" equalAverage="0" bottom="0" percent="0" rank="0" text="" dxfId="0">
      <formula>0</formula>
    </cfRule>
  </conditionalFormatting>
  <conditionalFormatting sqref="T8:T27">
    <cfRule type="cellIs" priority="9" operator="lessThan" aboveAverage="0" equalAverage="0" bottom="0" percent="0" rank="0" text="" dxfId="2">
      <formula>0</formula>
    </cfRule>
    <cfRule type="cellIs" priority="10" operator="greaterThan" aboveAverage="0" equalAverage="0" bottom="0" percent="0" rank="0" text="" dxfId="0">
      <formula>0</formula>
    </cfRule>
  </conditionalFormatting>
  <conditionalFormatting sqref="R8:R27">
    <cfRule type="cellIs" priority="11" operator="greaterThan" aboveAverage="0" equalAverage="0" bottom="0" percent="0" rank="0" text="" dxfId="5">
      <formula>0</formula>
    </cfRule>
  </conditionalFormatting>
  <conditionalFormatting sqref="F42">
    <cfRule type="cellIs" priority="12" operator="lessThan" aboveAverage="0" equalAverage="0" bottom="0" percent="0" rank="0" text="" dxfId="2">
      <formula>0</formula>
    </cfRule>
    <cfRule type="cellIs" priority="13" operator="greaterThan" aboveAverage="0" equalAverage="0" bottom="0" percent="0" rank="0" text="" dxfId="0">
      <formula>0</formula>
    </cfRule>
  </conditionalFormatting>
  <conditionalFormatting sqref="F44:F45">
    <cfRule type="cellIs" priority="14" operator="lessThan" aboveAverage="0" equalAverage="0" bottom="0" percent="0" rank="0" text="" dxfId="2">
      <formula>0</formula>
    </cfRule>
    <cfRule type="cellIs" priority="15" operator="greaterThan" aboveAverage="0" equalAverage="0" bottom="0" percent="0" rank="0" text="" dxfId="0">
      <formula>0</formula>
    </cfRule>
  </conditionalFormatting>
  <conditionalFormatting sqref="F49">
    <cfRule type="cellIs" priority="16" operator="between" aboveAverage="0" equalAverage="0" bottom="0" percent="0" rank="0" text="" dxfId="6">
      <formula>1</formula>
      <formula>3</formula>
    </cfRule>
    <cfRule type="cellIs" priority="17" operator="between" aboveAverage="0" equalAverage="0" bottom="0" percent="0" rank="0" text="" dxfId="7">
      <formula>4</formula>
      <formula>6</formula>
    </cfRule>
    <cfRule type="cellIs" priority="18" operator="between" aboveAverage="0" equalAverage="0" bottom="0" percent="0" rank="0" text="" dxfId="8">
      <formula>7</formula>
      <formula>10</formula>
    </cfRule>
  </conditionalFormatting>
  <dataValidations count="1">
    <dataValidation allowBlank="true" errorStyle="stop" operator="between" showDropDown="false" showErrorMessage="true" showInputMessage="false" sqref="W8:W27" type="list">
      <formula1>"On Track,At Risk,Over Budget,Complete,On Hold"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4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4"/>
    <col collapsed="false" customWidth="true" hidden="false" outlineLevel="0" max="3" min="3" style="0" width="20"/>
    <col collapsed="false" customWidth="true" hidden="false" outlineLevel="0" max="5" min="4" style="0" width="13"/>
    <col collapsed="false" customWidth="true" hidden="false" outlineLevel="0" max="6" min="6" style="0" width="14"/>
    <col collapsed="false" customWidth="true" hidden="false" outlineLevel="0" max="8" min="7" style="0" width="13"/>
    <col collapsed="false" customWidth="true" hidden="false" outlineLevel="0" max="9" min="9" style="0" width="11"/>
    <col collapsed="false" customWidth="true" hidden="false" outlineLevel="0" max="11" min="10" style="0" width="13"/>
    <col collapsed="false" customWidth="true" hidden="false" outlineLevel="0" max="12" min="12" style="0" width="14"/>
    <col collapsed="false" customWidth="true" hidden="false" outlineLevel="0" max="18" min="13" style="0" width="13"/>
  </cols>
  <sheetData>
    <row r="1" customFormat="false" ht="36" hidden="false" customHeight="true" outlineLevel="0" collapsed="false">
      <c r="A1" s="1" t="s">
        <v>87</v>
      </c>
      <c r="B1" s="1"/>
      <c r="C1" s="1"/>
      <c r="D1" s="1"/>
      <c r="E1" s="1"/>
      <c r="F1" s="1"/>
      <c r="G1" s="1"/>
      <c r="H1" s="1"/>
      <c r="I1" s="1"/>
      <c r="J1" s="1"/>
      <c r="K1" s="1"/>
      <c r="L1" s="1"/>
      <c r="M1" s="1"/>
      <c r="N1" s="1"/>
      <c r="O1" s="1"/>
      <c r="P1" s="1"/>
      <c r="Q1" s="1"/>
      <c r="R1" s="1"/>
    </row>
    <row r="2" customFormat="false" ht="19.5" hidden="false" customHeight="true" outlineLevel="0" collapsed="false">
      <c r="A2" s="2" t="s">
        <v>1</v>
      </c>
      <c r="B2" s="3"/>
      <c r="C2" s="2" t="s">
        <v>2</v>
      </c>
      <c r="D2" s="3"/>
      <c r="E2" s="2" t="s">
        <v>3</v>
      </c>
      <c r="F2" s="3"/>
      <c r="G2" s="2" t="s">
        <v>4</v>
      </c>
      <c r="H2" s="3"/>
      <c r="I2" s="2" t="s">
        <v>5</v>
      </c>
      <c r="J2" s="3"/>
    </row>
    <row r="3" customFormat="false" ht="19.5" hidden="false" customHeight="true" outlineLevel="0" collapsed="false">
      <c r="A3" s="4" t="s">
        <v>6</v>
      </c>
      <c r="B3" s="5" t="n">
        <v>0.1</v>
      </c>
      <c r="C3" s="6" t="s">
        <v>88</v>
      </c>
      <c r="D3" s="6"/>
      <c r="E3" s="6"/>
      <c r="F3" s="6"/>
      <c r="G3" s="6"/>
      <c r="H3" s="6"/>
    </row>
    <row r="5" customFormat="false" ht="18" hidden="false" customHeight="true" outlineLevel="0" collapsed="false">
      <c r="A5" s="7" t="s">
        <v>8</v>
      </c>
      <c r="B5" s="7"/>
      <c r="C5" s="7"/>
      <c r="D5" s="8" t="s">
        <v>89</v>
      </c>
      <c r="E5" s="8"/>
      <c r="F5" s="8"/>
      <c r="G5" s="39" t="s">
        <v>90</v>
      </c>
      <c r="H5" s="39"/>
      <c r="I5" s="39"/>
      <c r="J5" s="10" t="s">
        <v>91</v>
      </c>
      <c r="K5" s="10"/>
      <c r="L5" s="10"/>
      <c r="M5" s="9" t="s">
        <v>92</v>
      </c>
      <c r="N5" s="9"/>
      <c r="O5" s="12" t="s">
        <v>93</v>
      </c>
      <c r="P5" s="12" t="s">
        <v>94</v>
      </c>
      <c r="Q5" s="40" t="s">
        <v>95</v>
      </c>
      <c r="R5" s="11" t="s">
        <v>15</v>
      </c>
    </row>
    <row r="6" customFormat="false" ht="31.5" hidden="false" customHeight="true" outlineLevel="0" collapsed="false">
      <c r="A6" s="12" t="s">
        <v>96</v>
      </c>
      <c r="B6" s="12" t="s">
        <v>97</v>
      </c>
      <c r="C6" s="12" t="s">
        <v>98</v>
      </c>
      <c r="D6" s="13" t="s">
        <v>99</v>
      </c>
      <c r="E6" s="13" t="s">
        <v>100</v>
      </c>
      <c r="F6" s="13" t="s">
        <v>101</v>
      </c>
      <c r="G6" s="41" t="s">
        <v>102</v>
      </c>
      <c r="H6" s="41" t="s">
        <v>103</v>
      </c>
      <c r="I6" s="41" t="s">
        <v>104</v>
      </c>
      <c r="J6" s="14" t="s">
        <v>33</v>
      </c>
      <c r="K6" s="14" t="s">
        <v>36</v>
      </c>
      <c r="L6" s="14" t="s">
        <v>37</v>
      </c>
      <c r="M6" s="11" t="s">
        <v>105</v>
      </c>
      <c r="N6" s="11" t="s">
        <v>106</v>
      </c>
      <c r="O6" s="12" t="s">
        <v>107</v>
      </c>
      <c r="P6" s="12" t="s">
        <v>108</v>
      </c>
      <c r="Q6" s="40" t="s">
        <v>109</v>
      </c>
      <c r="R6" s="11" t="s">
        <v>38</v>
      </c>
    </row>
    <row r="8" customFormat="false" ht="18" hidden="false" customHeight="true" outlineLevel="0" collapsed="false">
      <c r="A8" s="15"/>
      <c r="B8" s="16"/>
      <c r="C8" s="16"/>
      <c r="D8" s="17"/>
      <c r="E8" s="42"/>
      <c r="F8" s="16"/>
      <c r="G8" s="42"/>
      <c r="H8" s="17"/>
      <c r="I8" s="43" t="str">
        <f aca="false">IF(AND(H8&lt;&gt;"",E8&lt;&gt;""),H8-E8,"")</f>
        <v/>
      </c>
      <c r="J8" s="44" t="n">
        <f aca="false">D8*$B$3</f>
        <v>0</v>
      </c>
      <c r="K8" s="45"/>
      <c r="L8" s="44" t="n">
        <f aca="false">J8-K8</f>
        <v>0</v>
      </c>
      <c r="M8" s="17"/>
      <c r="N8" s="17"/>
      <c r="O8" s="18" t="str">
        <f aca="false">IF(D8&lt;&gt;"",D8-M8-N8,"")</f>
        <v/>
      </c>
      <c r="P8" s="18" t="str">
        <f aca="false">IF(H8&lt;&gt;"",H8-M8-N8,"")</f>
        <v/>
      </c>
      <c r="Q8" s="46"/>
      <c r="R8" s="20"/>
    </row>
    <row r="9" customFormat="false" ht="18" hidden="false" customHeight="true" outlineLevel="0" collapsed="false">
      <c r="A9" s="21"/>
      <c r="B9" s="22"/>
      <c r="C9" s="22"/>
      <c r="D9" s="23"/>
      <c r="E9" s="47"/>
      <c r="F9" s="22"/>
      <c r="G9" s="47"/>
      <c r="H9" s="23"/>
      <c r="I9" s="43" t="str">
        <f aca="false">IF(AND(H9&lt;&gt;"",E9&lt;&gt;""),H9-E9,"")</f>
        <v/>
      </c>
      <c r="J9" s="44" t="n">
        <f aca="false">D9*$B$3</f>
        <v>0</v>
      </c>
      <c r="K9" s="45"/>
      <c r="L9" s="44" t="n">
        <f aca="false">J9-K9</f>
        <v>0</v>
      </c>
      <c r="M9" s="23"/>
      <c r="N9" s="23"/>
      <c r="O9" s="18" t="str">
        <f aca="false">IF(D9&lt;&gt;"",D9-M9-N9,"")</f>
        <v/>
      </c>
      <c r="P9" s="18" t="str">
        <f aca="false">IF(H9&lt;&gt;"",H9-M9-N9,"")</f>
        <v/>
      </c>
      <c r="Q9" s="46"/>
      <c r="R9" s="24"/>
    </row>
    <row r="10" customFormat="false" ht="18" hidden="false" customHeight="true" outlineLevel="0" collapsed="false">
      <c r="A10" s="15"/>
      <c r="B10" s="16"/>
      <c r="C10" s="16"/>
      <c r="D10" s="17"/>
      <c r="E10" s="42"/>
      <c r="F10" s="16"/>
      <c r="G10" s="42"/>
      <c r="H10" s="17"/>
      <c r="I10" s="43" t="str">
        <f aca="false">IF(AND(H10&lt;&gt;"",E10&lt;&gt;""),H10-E10,"")</f>
        <v/>
      </c>
      <c r="J10" s="44" t="n">
        <f aca="false">D10*$B$3</f>
        <v>0</v>
      </c>
      <c r="K10" s="45"/>
      <c r="L10" s="44" t="n">
        <f aca="false">J10-K10</f>
        <v>0</v>
      </c>
      <c r="M10" s="17"/>
      <c r="N10" s="17"/>
      <c r="O10" s="18" t="str">
        <f aca="false">IF(D10&lt;&gt;"",D10-M10-N10,"")</f>
        <v/>
      </c>
      <c r="P10" s="18" t="str">
        <f aca="false">IF(H10&lt;&gt;"",H10-M10-N10,"")</f>
        <v/>
      </c>
      <c r="Q10" s="46"/>
      <c r="R10" s="20"/>
    </row>
    <row r="11" customFormat="false" ht="18" hidden="false" customHeight="true" outlineLevel="0" collapsed="false">
      <c r="A11" s="21"/>
      <c r="B11" s="22"/>
      <c r="C11" s="22"/>
      <c r="D11" s="23"/>
      <c r="E11" s="47"/>
      <c r="F11" s="22"/>
      <c r="G11" s="47"/>
      <c r="H11" s="23"/>
      <c r="I11" s="43" t="str">
        <f aca="false">IF(AND(H11&lt;&gt;"",E11&lt;&gt;""),H11-E11,"")</f>
        <v/>
      </c>
      <c r="J11" s="44" t="n">
        <f aca="false">D11*$B$3</f>
        <v>0</v>
      </c>
      <c r="K11" s="45"/>
      <c r="L11" s="44" t="n">
        <f aca="false">J11-K11</f>
        <v>0</v>
      </c>
      <c r="M11" s="23"/>
      <c r="N11" s="23"/>
      <c r="O11" s="18" t="str">
        <f aca="false">IF(D11&lt;&gt;"",D11-M11-N11,"")</f>
        <v/>
      </c>
      <c r="P11" s="18" t="str">
        <f aca="false">IF(H11&lt;&gt;"",H11-M11-N11,"")</f>
        <v/>
      </c>
      <c r="Q11" s="46"/>
      <c r="R11" s="24"/>
    </row>
    <row r="12" customFormat="false" ht="18" hidden="false" customHeight="true" outlineLevel="0" collapsed="false">
      <c r="A12" s="15"/>
      <c r="B12" s="16"/>
      <c r="C12" s="16"/>
      <c r="D12" s="17"/>
      <c r="E12" s="42"/>
      <c r="F12" s="16"/>
      <c r="G12" s="42"/>
      <c r="H12" s="17"/>
      <c r="I12" s="43" t="str">
        <f aca="false">IF(AND(H12&lt;&gt;"",E12&lt;&gt;""),H12-E12,"")</f>
        <v/>
      </c>
      <c r="J12" s="44" t="n">
        <f aca="false">D12*$B$3</f>
        <v>0</v>
      </c>
      <c r="K12" s="45"/>
      <c r="L12" s="44" t="n">
        <f aca="false">J12-K12</f>
        <v>0</v>
      </c>
      <c r="M12" s="17"/>
      <c r="N12" s="17"/>
      <c r="O12" s="18" t="str">
        <f aca="false">IF(D12&lt;&gt;"",D12-M12-N12,"")</f>
        <v/>
      </c>
      <c r="P12" s="18" t="str">
        <f aca="false">IF(H12&lt;&gt;"",H12-M12-N12,"")</f>
        <v/>
      </c>
      <c r="Q12" s="46"/>
      <c r="R12" s="20"/>
    </row>
    <row r="13" customFormat="false" ht="18" hidden="false" customHeight="true" outlineLevel="0" collapsed="false">
      <c r="A13" s="21"/>
      <c r="B13" s="22"/>
      <c r="C13" s="22"/>
      <c r="D13" s="23"/>
      <c r="E13" s="47"/>
      <c r="F13" s="22"/>
      <c r="G13" s="47"/>
      <c r="H13" s="23"/>
      <c r="I13" s="43" t="str">
        <f aca="false">IF(AND(H13&lt;&gt;"",E13&lt;&gt;""),H13-E13,"")</f>
        <v/>
      </c>
      <c r="J13" s="44" t="n">
        <f aca="false">D13*$B$3</f>
        <v>0</v>
      </c>
      <c r="K13" s="45"/>
      <c r="L13" s="44" t="n">
        <f aca="false">J13-K13</f>
        <v>0</v>
      </c>
      <c r="M13" s="23"/>
      <c r="N13" s="23"/>
      <c r="O13" s="18" t="str">
        <f aca="false">IF(D13&lt;&gt;"",D13-M13-N13,"")</f>
        <v/>
      </c>
      <c r="P13" s="18" t="str">
        <f aca="false">IF(H13&lt;&gt;"",H13-M13-N13,"")</f>
        <v/>
      </c>
      <c r="Q13" s="46"/>
      <c r="R13" s="24"/>
    </row>
    <row r="14" customFormat="false" ht="18" hidden="false" customHeight="true" outlineLevel="0" collapsed="false">
      <c r="A14" s="15"/>
      <c r="B14" s="16"/>
      <c r="C14" s="16"/>
      <c r="D14" s="17"/>
      <c r="E14" s="42"/>
      <c r="F14" s="16"/>
      <c r="G14" s="42"/>
      <c r="H14" s="17"/>
      <c r="I14" s="43" t="str">
        <f aca="false">IF(AND(H14&lt;&gt;"",E14&lt;&gt;""),H14-E14,"")</f>
        <v/>
      </c>
      <c r="J14" s="44" t="n">
        <f aca="false">D14*$B$3</f>
        <v>0</v>
      </c>
      <c r="K14" s="45"/>
      <c r="L14" s="44" t="n">
        <f aca="false">J14-K14</f>
        <v>0</v>
      </c>
      <c r="M14" s="17"/>
      <c r="N14" s="17"/>
      <c r="O14" s="18" t="str">
        <f aca="false">IF(D14&lt;&gt;"",D14-M14-N14,"")</f>
        <v/>
      </c>
      <c r="P14" s="18" t="str">
        <f aca="false">IF(H14&lt;&gt;"",H14-M14-N14,"")</f>
        <v/>
      </c>
      <c r="Q14" s="46"/>
      <c r="R14" s="20"/>
    </row>
    <row r="15" customFormat="false" ht="18" hidden="false" customHeight="true" outlineLevel="0" collapsed="false">
      <c r="A15" s="21"/>
      <c r="B15" s="22"/>
      <c r="C15" s="22"/>
      <c r="D15" s="23"/>
      <c r="E15" s="47"/>
      <c r="F15" s="22"/>
      <c r="G15" s="47"/>
      <c r="H15" s="23"/>
      <c r="I15" s="43" t="str">
        <f aca="false">IF(AND(H15&lt;&gt;"",E15&lt;&gt;""),H15-E15,"")</f>
        <v/>
      </c>
      <c r="J15" s="44" t="n">
        <f aca="false">D15*$B$3</f>
        <v>0</v>
      </c>
      <c r="K15" s="45"/>
      <c r="L15" s="44" t="n">
        <f aca="false">J15-K15</f>
        <v>0</v>
      </c>
      <c r="M15" s="23"/>
      <c r="N15" s="23"/>
      <c r="O15" s="18" t="str">
        <f aca="false">IF(D15&lt;&gt;"",D15-M15-N15,"")</f>
        <v/>
      </c>
      <c r="P15" s="18" t="str">
        <f aca="false">IF(H15&lt;&gt;"",H15-M15-N15,"")</f>
        <v/>
      </c>
      <c r="Q15" s="46"/>
      <c r="R15" s="24"/>
    </row>
    <row r="16" customFormat="false" ht="18" hidden="false" customHeight="true" outlineLevel="0" collapsed="false">
      <c r="A16" s="15"/>
      <c r="B16" s="16"/>
      <c r="C16" s="16"/>
      <c r="D16" s="17"/>
      <c r="E16" s="42"/>
      <c r="F16" s="16"/>
      <c r="G16" s="42"/>
      <c r="H16" s="17"/>
      <c r="I16" s="43" t="str">
        <f aca="false">IF(AND(H16&lt;&gt;"",E16&lt;&gt;""),H16-E16,"")</f>
        <v/>
      </c>
      <c r="J16" s="44" t="n">
        <f aca="false">D16*$B$3</f>
        <v>0</v>
      </c>
      <c r="K16" s="45"/>
      <c r="L16" s="44" t="n">
        <f aca="false">J16-K16</f>
        <v>0</v>
      </c>
      <c r="M16" s="17"/>
      <c r="N16" s="17"/>
      <c r="O16" s="18" t="str">
        <f aca="false">IF(D16&lt;&gt;"",D16-M16-N16,"")</f>
        <v/>
      </c>
      <c r="P16" s="18" t="str">
        <f aca="false">IF(H16&lt;&gt;"",H16-M16-N16,"")</f>
        <v/>
      </c>
      <c r="Q16" s="46"/>
      <c r="R16" s="20"/>
    </row>
    <row r="17" customFormat="false" ht="18" hidden="false" customHeight="true" outlineLevel="0" collapsed="false">
      <c r="A17" s="21"/>
      <c r="B17" s="22"/>
      <c r="C17" s="22"/>
      <c r="D17" s="23"/>
      <c r="E17" s="47"/>
      <c r="F17" s="22"/>
      <c r="G17" s="47"/>
      <c r="H17" s="23"/>
      <c r="I17" s="43" t="str">
        <f aca="false">IF(AND(H17&lt;&gt;"",E17&lt;&gt;""),H17-E17,"")</f>
        <v/>
      </c>
      <c r="J17" s="44" t="n">
        <f aca="false">D17*$B$3</f>
        <v>0</v>
      </c>
      <c r="K17" s="45"/>
      <c r="L17" s="44" t="n">
        <f aca="false">J17-K17</f>
        <v>0</v>
      </c>
      <c r="M17" s="23"/>
      <c r="N17" s="23"/>
      <c r="O17" s="18" t="str">
        <f aca="false">IF(D17&lt;&gt;"",D17-M17-N17,"")</f>
        <v/>
      </c>
      <c r="P17" s="18" t="str">
        <f aca="false">IF(H17&lt;&gt;"",H17-M17-N17,"")</f>
        <v/>
      </c>
      <c r="Q17" s="46"/>
      <c r="R17" s="24"/>
    </row>
    <row r="18" customFormat="false" ht="18" hidden="false" customHeight="true" outlineLevel="0" collapsed="false">
      <c r="A18" s="15"/>
      <c r="B18" s="16"/>
      <c r="C18" s="16"/>
      <c r="D18" s="17"/>
      <c r="E18" s="42"/>
      <c r="F18" s="16"/>
      <c r="G18" s="42"/>
      <c r="H18" s="17"/>
      <c r="I18" s="43" t="str">
        <f aca="false">IF(AND(H18&lt;&gt;"",E18&lt;&gt;""),H18-E18,"")</f>
        <v/>
      </c>
      <c r="J18" s="44" t="n">
        <f aca="false">D18*$B$3</f>
        <v>0</v>
      </c>
      <c r="K18" s="45"/>
      <c r="L18" s="44" t="n">
        <f aca="false">J18-K18</f>
        <v>0</v>
      </c>
      <c r="M18" s="17"/>
      <c r="N18" s="17"/>
      <c r="O18" s="18" t="str">
        <f aca="false">IF(D18&lt;&gt;"",D18-M18-N18,"")</f>
        <v/>
      </c>
      <c r="P18" s="18" t="str">
        <f aca="false">IF(H18&lt;&gt;"",H18-M18-N18,"")</f>
        <v/>
      </c>
      <c r="Q18" s="46"/>
      <c r="R18" s="20"/>
    </row>
    <row r="19" customFormat="false" ht="18" hidden="false" customHeight="true" outlineLevel="0" collapsed="false">
      <c r="A19" s="21"/>
      <c r="B19" s="22"/>
      <c r="C19" s="22"/>
      <c r="D19" s="23"/>
      <c r="E19" s="47"/>
      <c r="F19" s="22"/>
      <c r="G19" s="47"/>
      <c r="H19" s="23"/>
      <c r="I19" s="43" t="str">
        <f aca="false">IF(AND(H19&lt;&gt;"",E19&lt;&gt;""),H19-E19,"")</f>
        <v/>
      </c>
      <c r="J19" s="44" t="n">
        <f aca="false">D19*$B$3</f>
        <v>0</v>
      </c>
      <c r="K19" s="45"/>
      <c r="L19" s="44" t="n">
        <f aca="false">J19-K19</f>
        <v>0</v>
      </c>
      <c r="M19" s="23"/>
      <c r="N19" s="23"/>
      <c r="O19" s="18" t="str">
        <f aca="false">IF(D19&lt;&gt;"",D19-M19-N19,"")</f>
        <v/>
      </c>
      <c r="P19" s="18" t="str">
        <f aca="false">IF(H19&lt;&gt;"",H19-M19-N19,"")</f>
        <v/>
      </c>
      <c r="Q19" s="46"/>
      <c r="R19" s="24"/>
    </row>
    <row r="20" customFormat="false" ht="18" hidden="false" customHeight="true" outlineLevel="0" collapsed="false">
      <c r="A20" s="15"/>
      <c r="B20" s="16"/>
      <c r="C20" s="16"/>
      <c r="D20" s="17"/>
      <c r="E20" s="42"/>
      <c r="F20" s="16"/>
      <c r="G20" s="42"/>
      <c r="H20" s="17"/>
      <c r="I20" s="43" t="str">
        <f aca="false">IF(AND(H20&lt;&gt;"",E20&lt;&gt;""),H20-E20,"")</f>
        <v/>
      </c>
      <c r="J20" s="44" t="n">
        <f aca="false">D20*$B$3</f>
        <v>0</v>
      </c>
      <c r="K20" s="45"/>
      <c r="L20" s="44" t="n">
        <f aca="false">J20-K20</f>
        <v>0</v>
      </c>
      <c r="M20" s="17"/>
      <c r="N20" s="17"/>
      <c r="O20" s="18" t="str">
        <f aca="false">IF(D20&lt;&gt;"",D20-M20-N20,"")</f>
        <v/>
      </c>
      <c r="P20" s="18" t="str">
        <f aca="false">IF(H20&lt;&gt;"",H20-M20-N20,"")</f>
        <v/>
      </c>
      <c r="Q20" s="46"/>
      <c r="R20" s="20"/>
    </row>
    <row r="21" customFormat="false" ht="18" hidden="false" customHeight="true" outlineLevel="0" collapsed="false">
      <c r="A21" s="21"/>
      <c r="B21" s="22"/>
      <c r="C21" s="22"/>
      <c r="D21" s="23"/>
      <c r="E21" s="47"/>
      <c r="F21" s="22"/>
      <c r="G21" s="47"/>
      <c r="H21" s="23"/>
      <c r="I21" s="43" t="str">
        <f aca="false">IF(AND(H21&lt;&gt;"",E21&lt;&gt;""),H21-E21,"")</f>
        <v/>
      </c>
      <c r="J21" s="44" t="n">
        <f aca="false">D21*$B$3</f>
        <v>0</v>
      </c>
      <c r="K21" s="45"/>
      <c r="L21" s="44" t="n">
        <f aca="false">J21-K21</f>
        <v>0</v>
      </c>
      <c r="M21" s="23"/>
      <c r="N21" s="23"/>
      <c r="O21" s="18" t="str">
        <f aca="false">IF(D21&lt;&gt;"",D21-M21-N21,"")</f>
        <v/>
      </c>
      <c r="P21" s="18" t="str">
        <f aca="false">IF(H21&lt;&gt;"",H21-M21-N21,"")</f>
        <v/>
      </c>
      <c r="Q21" s="46"/>
      <c r="R21" s="24"/>
    </row>
    <row r="22" customFormat="false" ht="18" hidden="false" customHeight="true" outlineLevel="0" collapsed="false">
      <c r="A22" s="15"/>
      <c r="B22" s="16"/>
      <c r="C22" s="16"/>
      <c r="D22" s="17"/>
      <c r="E22" s="42"/>
      <c r="F22" s="16"/>
      <c r="G22" s="42"/>
      <c r="H22" s="17"/>
      <c r="I22" s="43" t="str">
        <f aca="false">IF(AND(H22&lt;&gt;"",E22&lt;&gt;""),H22-E22,"")</f>
        <v/>
      </c>
      <c r="J22" s="44" t="n">
        <f aca="false">D22*$B$3</f>
        <v>0</v>
      </c>
      <c r="K22" s="45"/>
      <c r="L22" s="44" t="n">
        <f aca="false">J22-K22</f>
        <v>0</v>
      </c>
      <c r="M22" s="17"/>
      <c r="N22" s="17"/>
      <c r="O22" s="18" t="str">
        <f aca="false">IF(D22&lt;&gt;"",D22-M22-N22,"")</f>
        <v/>
      </c>
      <c r="P22" s="18" t="str">
        <f aca="false">IF(H22&lt;&gt;"",H22-M22-N22,"")</f>
        <v/>
      </c>
      <c r="Q22" s="46"/>
      <c r="R22" s="20"/>
    </row>
    <row r="23" customFormat="false" ht="18" hidden="false" customHeight="true" outlineLevel="0" collapsed="false">
      <c r="A23" s="21"/>
      <c r="B23" s="22"/>
      <c r="C23" s="22"/>
      <c r="D23" s="23"/>
      <c r="E23" s="47"/>
      <c r="F23" s="22"/>
      <c r="G23" s="47"/>
      <c r="H23" s="23"/>
      <c r="I23" s="43" t="str">
        <f aca="false">IF(AND(H23&lt;&gt;"",E23&lt;&gt;""),H23-E23,"")</f>
        <v/>
      </c>
      <c r="J23" s="44" t="n">
        <f aca="false">D23*$B$3</f>
        <v>0</v>
      </c>
      <c r="K23" s="45"/>
      <c r="L23" s="44" t="n">
        <f aca="false">J23-K23</f>
        <v>0</v>
      </c>
      <c r="M23" s="23"/>
      <c r="N23" s="23"/>
      <c r="O23" s="18" t="str">
        <f aca="false">IF(D23&lt;&gt;"",D23-M23-N23,"")</f>
        <v/>
      </c>
      <c r="P23" s="18" t="str">
        <f aca="false">IF(H23&lt;&gt;"",H23-M23-N23,"")</f>
        <v/>
      </c>
      <c r="Q23" s="46"/>
      <c r="R23" s="24"/>
    </row>
    <row r="24" customFormat="false" ht="18" hidden="false" customHeight="true" outlineLevel="0" collapsed="false">
      <c r="A24" s="15"/>
      <c r="B24" s="16"/>
      <c r="C24" s="16"/>
      <c r="D24" s="17"/>
      <c r="E24" s="42"/>
      <c r="F24" s="16"/>
      <c r="G24" s="42"/>
      <c r="H24" s="17"/>
      <c r="I24" s="43" t="str">
        <f aca="false">IF(AND(H24&lt;&gt;"",E24&lt;&gt;""),H24-E24,"")</f>
        <v/>
      </c>
      <c r="J24" s="44" t="n">
        <f aca="false">D24*$B$3</f>
        <v>0</v>
      </c>
      <c r="K24" s="45"/>
      <c r="L24" s="44" t="n">
        <f aca="false">J24-K24</f>
        <v>0</v>
      </c>
      <c r="M24" s="17"/>
      <c r="N24" s="17"/>
      <c r="O24" s="18" t="str">
        <f aca="false">IF(D24&lt;&gt;"",D24-M24-N24,"")</f>
        <v/>
      </c>
      <c r="P24" s="18" t="str">
        <f aca="false">IF(H24&lt;&gt;"",H24-M24-N24,"")</f>
        <v/>
      </c>
      <c r="Q24" s="46"/>
      <c r="R24" s="20"/>
    </row>
    <row r="25" customFormat="false" ht="18" hidden="false" customHeight="true" outlineLevel="0" collapsed="false">
      <c r="A25" s="21"/>
      <c r="B25" s="22"/>
      <c r="C25" s="22"/>
      <c r="D25" s="23"/>
      <c r="E25" s="47"/>
      <c r="F25" s="22"/>
      <c r="G25" s="47"/>
      <c r="H25" s="23"/>
      <c r="I25" s="43" t="str">
        <f aca="false">IF(AND(H25&lt;&gt;"",E25&lt;&gt;""),H25-E25,"")</f>
        <v/>
      </c>
      <c r="J25" s="44" t="n">
        <f aca="false">D25*$B$3</f>
        <v>0</v>
      </c>
      <c r="K25" s="45"/>
      <c r="L25" s="44" t="n">
        <f aca="false">J25-K25</f>
        <v>0</v>
      </c>
      <c r="M25" s="23"/>
      <c r="N25" s="23"/>
      <c r="O25" s="18" t="str">
        <f aca="false">IF(D25&lt;&gt;"",D25-M25-N25,"")</f>
        <v/>
      </c>
      <c r="P25" s="18" t="str">
        <f aca="false">IF(H25&lt;&gt;"",H25-M25-N25,"")</f>
        <v/>
      </c>
      <c r="Q25" s="46"/>
      <c r="R25" s="24"/>
    </row>
    <row r="26" customFormat="false" ht="18" hidden="false" customHeight="true" outlineLevel="0" collapsed="false">
      <c r="A26" s="15"/>
      <c r="B26" s="16"/>
      <c r="C26" s="16"/>
      <c r="D26" s="17"/>
      <c r="E26" s="42"/>
      <c r="F26" s="16"/>
      <c r="G26" s="42"/>
      <c r="H26" s="17"/>
      <c r="I26" s="43" t="str">
        <f aca="false">IF(AND(H26&lt;&gt;"",E26&lt;&gt;""),H26-E26,"")</f>
        <v/>
      </c>
      <c r="J26" s="44" t="n">
        <f aca="false">D26*$B$3</f>
        <v>0</v>
      </c>
      <c r="K26" s="45"/>
      <c r="L26" s="44" t="n">
        <f aca="false">J26-K26</f>
        <v>0</v>
      </c>
      <c r="M26" s="17"/>
      <c r="N26" s="17"/>
      <c r="O26" s="18" t="str">
        <f aca="false">IF(D26&lt;&gt;"",D26-M26-N26,"")</f>
        <v/>
      </c>
      <c r="P26" s="18" t="str">
        <f aca="false">IF(H26&lt;&gt;"",H26-M26-N26,"")</f>
        <v/>
      </c>
      <c r="Q26" s="46"/>
      <c r="R26" s="20"/>
    </row>
    <row r="27" customFormat="false" ht="18" hidden="false" customHeight="true" outlineLevel="0" collapsed="false">
      <c r="A27" s="21"/>
      <c r="B27" s="22"/>
      <c r="C27" s="22"/>
      <c r="D27" s="23"/>
      <c r="E27" s="47"/>
      <c r="F27" s="22"/>
      <c r="G27" s="47"/>
      <c r="H27" s="23"/>
      <c r="I27" s="43" t="str">
        <f aca="false">IF(AND(H27&lt;&gt;"",E27&lt;&gt;""),H27-E27,"")</f>
        <v/>
      </c>
      <c r="J27" s="44" t="n">
        <f aca="false">D27*$B$3</f>
        <v>0</v>
      </c>
      <c r="K27" s="45"/>
      <c r="L27" s="44" t="n">
        <f aca="false">J27-K27</f>
        <v>0</v>
      </c>
      <c r="M27" s="23"/>
      <c r="N27" s="23"/>
      <c r="O27" s="18" t="str">
        <f aca="false">IF(D27&lt;&gt;"",D27-M27-N27,"")</f>
        <v/>
      </c>
      <c r="P27" s="18" t="str">
        <f aca="false">IF(H27&lt;&gt;"",H27-M27-N27,"")</f>
        <v/>
      </c>
      <c r="Q27" s="46"/>
      <c r="R27" s="24"/>
    </row>
    <row r="28" customFormat="false" ht="21.75" hidden="false" customHeight="true" outlineLevel="0" collapsed="false">
      <c r="A28" s="28" t="s">
        <v>68</v>
      </c>
      <c r="B28" s="28"/>
      <c r="C28" s="28"/>
      <c r="D28" s="29" t="n">
        <f aca="false">SUM(D8:D27)</f>
        <v>0</v>
      </c>
      <c r="H28" s="29" t="n">
        <f aca="false">SUM(H8:H27)</f>
        <v>0</v>
      </c>
      <c r="J28" s="29" t="n">
        <f aca="false">SUM(J8:J27)</f>
        <v>0</v>
      </c>
      <c r="K28" s="29" t="n">
        <f aca="false">SUM(K8:K27)</f>
        <v>0</v>
      </c>
      <c r="L28" s="29" t="n">
        <f aca="false">SUM(L8:L27)</f>
        <v>0</v>
      </c>
      <c r="M28" s="29" t="n">
        <f aca="false">SUM(M8:M27)</f>
        <v>0</v>
      </c>
      <c r="N28" s="29" t="n">
        <f aca="false">SUM(N8:N27)</f>
        <v>0</v>
      </c>
      <c r="O28" s="29" t="n">
        <f aca="false">SUM(O8:O27)</f>
        <v>0</v>
      </c>
      <c r="P28" s="29" t="n">
        <f aca="false">SUM(P8:P27)</f>
        <v>0</v>
      </c>
    </row>
    <row r="30" customFormat="false" ht="19.5" hidden="false" customHeight="true" outlineLevel="0" collapsed="false">
      <c r="A30" s="30" t="s">
        <v>110</v>
      </c>
      <c r="B30" s="30"/>
      <c r="C30" s="30"/>
      <c r="D30" s="30"/>
      <c r="E30" s="30"/>
      <c r="F30" s="30"/>
    </row>
    <row r="31" customFormat="false" ht="18" hidden="false" customHeight="true" outlineLevel="0" collapsed="false">
      <c r="A31" s="32" t="s">
        <v>111</v>
      </c>
      <c r="B31" s="32"/>
      <c r="C31" s="32"/>
      <c r="D31" s="32"/>
      <c r="E31" s="32"/>
      <c r="F31" s="31" t="n">
        <f aca="false">D28</f>
        <v>0</v>
      </c>
    </row>
    <row r="32" customFormat="false" ht="18" hidden="false" customHeight="true" outlineLevel="0" collapsed="false">
      <c r="A32" s="27" t="s">
        <v>74</v>
      </c>
      <c r="B32" s="27"/>
      <c r="C32" s="27"/>
      <c r="D32" s="27"/>
      <c r="E32" s="27"/>
      <c r="F32" s="31" t="n">
        <f aca="false">H28</f>
        <v>0</v>
      </c>
    </row>
    <row r="33" customFormat="false" ht="18" hidden="false" customHeight="true" outlineLevel="0" collapsed="false">
      <c r="A33" s="32" t="s">
        <v>112</v>
      </c>
      <c r="B33" s="32"/>
      <c r="C33" s="32"/>
      <c r="D33" s="32"/>
      <c r="E33" s="32"/>
      <c r="F33" s="31" t="n">
        <f aca="false">D28-H28</f>
        <v>0</v>
      </c>
    </row>
    <row r="34" customFormat="false" ht="18" hidden="false" customHeight="true" outlineLevel="0" collapsed="false">
      <c r="A34" s="27" t="s">
        <v>113</v>
      </c>
      <c r="B34" s="27"/>
      <c r="C34" s="27"/>
      <c r="D34" s="27"/>
      <c r="E34" s="27"/>
      <c r="F34" s="33" t="n">
        <f aca="false">J28</f>
        <v>0</v>
      </c>
    </row>
    <row r="35" customFormat="false" ht="18" hidden="false" customHeight="true" outlineLevel="0" collapsed="false">
      <c r="A35" s="32" t="s">
        <v>75</v>
      </c>
      <c r="B35" s="32"/>
      <c r="C35" s="32"/>
      <c r="D35" s="32"/>
      <c r="E35" s="32"/>
      <c r="F35" s="31" t="n">
        <f aca="false">K28</f>
        <v>0</v>
      </c>
    </row>
    <row r="36" customFormat="false" ht="18" hidden="false" customHeight="true" outlineLevel="0" collapsed="false">
      <c r="A36" s="27" t="s">
        <v>76</v>
      </c>
      <c r="B36" s="27"/>
      <c r="C36" s="27"/>
      <c r="D36" s="27"/>
      <c r="E36" s="27"/>
      <c r="F36" s="33" t="n">
        <f aca="false">L28</f>
        <v>0</v>
      </c>
    </row>
    <row r="37" customFormat="false" ht="18" hidden="false" customHeight="true" outlineLevel="0" collapsed="false">
      <c r="A37" s="32" t="s">
        <v>114</v>
      </c>
      <c r="B37" s="32"/>
      <c r="C37" s="32"/>
      <c r="D37" s="32"/>
      <c r="E37" s="32"/>
      <c r="F37" s="31" t="n">
        <f aca="false">M28</f>
        <v>0</v>
      </c>
    </row>
    <row r="38" customFormat="false" ht="18" hidden="false" customHeight="true" outlineLevel="0" collapsed="false">
      <c r="A38" s="27" t="s">
        <v>115</v>
      </c>
      <c r="B38" s="27"/>
      <c r="C38" s="27"/>
      <c r="D38" s="27"/>
      <c r="E38" s="27"/>
      <c r="F38" s="31" t="n">
        <f aca="false">N28</f>
        <v>0</v>
      </c>
    </row>
    <row r="39" customFormat="false" ht="18" hidden="false" customHeight="true" outlineLevel="0" collapsed="false">
      <c r="A39" s="32" t="s">
        <v>116</v>
      </c>
      <c r="B39" s="32"/>
      <c r="C39" s="32"/>
      <c r="D39" s="32"/>
      <c r="E39" s="32"/>
      <c r="F39" s="31" t="n">
        <f aca="false">M28+N28</f>
        <v>0</v>
      </c>
    </row>
    <row r="40" customFormat="false" ht="18" hidden="false" customHeight="true" outlineLevel="0" collapsed="false">
      <c r="A40" s="27" t="s">
        <v>117</v>
      </c>
      <c r="B40" s="27"/>
      <c r="C40" s="27"/>
      <c r="D40" s="27"/>
      <c r="E40" s="27"/>
      <c r="F40" s="31" t="n">
        <f aca="false">O28</f>
        <v>0</v>
      </c>
    </row>
    <row r="41" customFormat="false" ht="18" hidden="false" customHeight="true" outlineLevel="0" collapsed="false">
      <c r="A41" s="32" t="s">
        <v>118</v>
      </c>
      <c r="B41" s="32"/>
      <c r="C41" s="32"/>
      <c r="D41" s="32"/>
      <c r="E41" s="32"/>
      <c r="F41" s="34" t="n">
        <f aca="false">IF(D28&lt;&gt;0,O28/D28,0)</f>
        <v>0</v>
      </c>
    </row>
    <row r="42" customFormat="false" ht="18" hidden="false" customHeight="true" outlineLevel="0" collapsed="false">
      <c r="A42" s="27" t="s">
        <v>119</v>
      </c>
      <c r="B42" s="27"/>
      <c r="C42" s="27"/>
      <c r="D42" s="27"/>
      <c r="E42" s="27"/>
      <c r="F42" s="31" t="n">
        <f aca="false">P28</f>
        <v>0</v>
      </c>
    </row>
    <row r="43" customFormat="false" ht="18" hidden="false" customHeight="true" outlineLevel="0" collapsed="false">
      <c r="A43" s="48" t="s">
        <v>120</v>
      </c>
      <c r="B43" s="48"/>
      <c r="C43" s="48"/>
      <c r="D43" s="48"/>
      <c r="E43" s="48"/>
      <c r="F43" s="48"/>
      <c r="G43" s="48"/>
      <c r="H43" s="48"/>
      <c r="I43" s="48"/>
      <c r="J43" s="48"/>
      <c r="K43" s="48"/>
      <c r="L43" s="48"/>
      <c r="M43" s="48"/>
      <c r="N43" s="48"/>
      <c r="O43" s="48"/>
      <c r="P43" s="48"/>
      <c r="Q43" s="48"/>
      <c r="R43" s="48"/>
    </row>
    <row r="45" customFormat="false" ht="19.5" hidden="false" customHeight="true" outlineLevel="0" collapsed="false">
      <c r="A45" s="30" t="s">
        <v>83</v>
      </c>
      <c r="B45" s="30"/>
      <c r="C45" s="30"/>
      <c r="D45" s="30"/>
      <c r="E45" s="30"/>
      <c r="F45" s="30"/>
    </row>
    <row r="46" customFormat="false" ht="18" hidden="false" customHeight="true" outlineLevel="0" collapsed="false">
      <c r="A46" s="27" t="s">
        <v>84</v>
      </c>
      <c r="B46" s="27"/>
      <c r="C46" s="27"/>
      <c r="D46" s="27"/>
      <c r="E46" s="27"/>
      <c r="F46" s="36" t="n">
        <f aca="false">MAX(1,MIN(10,IF(F40&gt;0,3,0)+IF(F40&gt;=0,3,0)+IF(F42&gt;0,2,0)+IF(F33&lt;=0,2,IF(F33&lt;5000,1,0))))</f>
        <v>5</v>
      </c>
    </row>
    <row r="47" customFormat="false" ht="15.75" hidden="false" customHeight="true" outlineLevel="0" collapsed="false">
      <c r="A47" s="37" t="s">
        <v>85</v>
      </c>
      <c r="B47" s="37"/>
      <c r="C47" s="37"/>
      <c r="D47" s="37"/>
      <c r="E47" s="37"/>
      <c r="F47" s="37"/>
    </row>
    <row r="49" customFormat="false" ht="24" hidden="false" customHeight="true" outlineLevel="0" collapsed="false">
      <c r="A49" s="38" t="s">
        <v>86</v>
      </c>
      <c r="B49" s="38"/>
      <c r="C49" s="38"/>
      <c r="D49" s="38"/>
      <c r="E49" s="38"/>
      <c r="F49" s="38"/>
      <c r="G49" s="38"/>
      <c r="H49" s="38"/>
      <c r="I49" s="38"/>
      <c r="J49" s="38"/>
      <c r="K49" s="38"/>
      <c r="L49" s="38"/>
      <c r="M49" s="38"/>
      <c r="N49" s="38"/>
      <c r="O49" s="38"/>
      <c r="P49" s="38"/>
      <c r="Q49" s="38"/>
      <c r="R49" s="38"/>
    </row>
  </sheetData>
  <sheetProtection sheet="true" password="df0a"/>
  <mergeCells count="26">
    <mergeCell ref="A1:R1"/>
    <mergeCell ref="C3:H3"/>
    <mergeCell ref="A5:C5"/>
    <mergeCell ref="D5:F5"/>
    <mergeCell ref="G5:I5"/>
    <mergeCell ref="J5:L5"/>
    <mergeCell ref="M5:N5"/>
    <mergeCell ref="A28:C28"/>
    <mergeCell ref="A30:F30"/>
    <mergeCell ref="A31:E31"/>
    <mergeCell ref="A32:E32"/>
    <mergeCell ref="A33:E33"/>
    <mergeCell ref="A34:E34"/>
    <mergeCell ref="A35:E35"/>
    <mergeCell ref="A36:E36"/>
    <mergeCell ref="A37:E37"/>
    <mergeCell ref="A38:E38"/>
    <mergeCell ref="A39:E39"/>
    <mergeCell ref="A40:E40"/>
    <mergeCell ref="A41:E41"/>
    <mergeCell ref="A42:E42"/>
    <mergeCell ref="A43:R43"/>
    <mergeCell ref="A45:F45"/>
    <mergeCell ref="A46:E46"/>
    <mergeCell ref="A47:F47"/>
    <mergeCell ref="A49:R49"/>
  </mergeCells>
  <conditionalFormatting sqref="Q8:Q27">
    <cfRule type="cellIs" priority="2" operator="equal" aboveAverage="0" equalAverage="0" bottom="0" percent="0" rank="0" text="" dxfId="0">
      <formula>"Yes"</formula>
    </cfRule>
    <cfRule type="cellIs" priority="3" operator="equal" aboveAverage="0" equalAverage="0" bottom="0" percent="0" rank="0" text="" dxfId="2">
      <formula>"No"</formula>
    </cfRule>
    <cfRule type="cellIs" priority="4" operator="equal" aboveAverage="0" equalAverage="0" bottom="0" percent="0" rank="0" text="" dxfId="1">
      <formula>"Partial"</formula>
    </cfRule>
  </conditionalFormatting>
  <conditionalFormatting sqref="R8:R27">
    <cfRule type="cellIs" priority="5" operator="equal" aboveAverage="0" equalAverage="0" bottom="0" percent="0" rank="0" text="" dxfId="0">
      <formula>"On Track"</formula>
    </cfRule>
    <cfRule type="cellIs" priority="6" operator="equal" aboveAverage="0" equalAverage="0" bottom="0" percent="0" rank="0" text="" dxfId="1">
      <formula>"At Risk"</formula>
    </cfRule>
    <cfRule type="cellIs" priority="7" operator="equal" aboveAverage="0" equalAverage="0" bottom="0" percent="0" rank="0" text="" dxfId="2">
      <formula>"Over Budget"</formula>
    </cfRule>
    <cfRule type="cellIs" priority="8" operator="equal" aboveAverage="0" equalAverage="0" bottom="0" percent="0" rank="0" text="" dxfId="3">
      <formula>"Complete"</formula>
    </cfRule>
    <cfRule type="cellIs" priority="9" operator="equal" aboveAverage="0" equalAverage="0" bottom="0" percent="0" rank="0" text="" dxfId="4">
      <formula>"On Hold"</formula>
    </cfRule>
  </conditionalFormatting>
  <conditionalFormatting sqref="O8:O27">
    <cfRule type="cellIs" priority="10" operator="lessThan" aboveAverage="0" equalAverage="0" bottom="0" percent="0" rank="0" text="" dxfId="2">
      <formula>0</formula>
    </cfRule>
    <cfRule type="cellIs" priority="11" operator="greaterThan" aboveAverage="0" equalAverage="0" bottom="0" percent="0" rank="0" text="" dxfId="0">
      <formula>0</formula>
    </cfRule>
  </conditionalFormatting>
  <conditionalFormatting sqref="P8:P27">
    <cfRule type="cellIs" priority="12" operator="lessThan" aboveAverage="0" equalAverage="0" bottom="0" percent="0" rank="0" text="" dxfId="2">
      <formula>0</formula>
    </cfRule>
    <cfRule type="cellIs" priority="13" operator="greaterThan" aboveAverage="0" equalAverage="0" bottom="0" percent="0" rank="0" text="" dxfId="0">
      <formula>0</formula>
    </cfRule>
  </conditionalFormatting>
  <conditionalFormatting sqref="J8:J27">
    <cfRule type="cellIs" priority="14" operator="greaterThan" aboveAverage="0" equalAverage="0" bottom="0" percent="0" rank="0" text="" dxfId="5">
      <formula>0</formula>
    </cfRule>
  </conditionalFormatting>
  <conditionalFormatting sqref="F40">
    <cfRule type="cellIs" priority="15" operator="lessThan" aboveAverage="0" equalAverage="0" bottom="0" percent="0" rank="0" text="" dxfId="2">
      <formula>0</formula>
    </cfRule>
    <cfRule type="cellIs" priority="16" operator="greaterThan" aboveAverage="0" equalAverage="0" bottom="0" percent="0" rank="0" text="" dxfId="0">
      <formula>0</formula>
    </cfRule>
  </conditionalFormatting>
  <conditionalFormatting sqref="F42">
    <cfRule type="cellIs" priority="17" operator="lessThan" aboveAverage="0" equalAverage="0" bottom="0" percent="0" rank="0" text="" dxfId="2">
      <formula>0</formula>
    </cfRule>
    <cfRule type="cellIs" priority="18" operator="greaterThan" aboveAverage="0" equalAverage="0" bottom="0" percent="0" rank="0" text="" dxfId="0">
      <formula>0</formula>
    </cfRule>
  </conditionalFormatting>
  <conditionalFormatting sqref="F46">
    <cfRule type="cellIs" priority="19" operator="between" aboveAverage="0" equalAverage="0" bottom="0" percent="0" rank="0" text="" dxfId="6">
      <formula>1</formula>
      <formula>3</formula>
    </cfRule>
    <cfRule type="cellIs" priority="20" operator="between" aboveAverage="0" equalAverage="0" bottom="0" percent="0" rank="0" text="" dxfId="7">
      <formula>4</formula>
      <formula>6</formula>
    </cfRule>
    <cfRule type="cellIs" priority="21" operator="between" aboveAverage="0" equalAverage="0" bottom="0" percent="0" rank="0" text="" dxfId="8">
      <formula>7</formula>
      <formula>10</formula>
    </cfRule>
  </conditionalFormatting>
  <dataValidations count="2">
    <dataValidation allowBlank="true" errorStyle="stop" operator="between" showDropDown="false" showErrorMessage="true" showInputMessage="false" sqref="Q8:Q27" type="list">
      <formula1>"Yes,No,Partial"</formula1>
      <formula2>0</formula2>
    </dataValidation>
    <dataValidation allowBlank="true" errorStyle="stop" operator="between" showDropDown="false" showErrorMessage="true" showInputMessage="false" sqref="R8:R27" type="list">
      <formula1>"On Track,At Risk,Over Budget,Complete,On Hold"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5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4"/>
    <col collapsed="false" customWidth="true" hidden="false" outlineLevel="0" max="3" min="3" style="0" width="18"/>
    <col collapsed="false" customWidth="true" hidden="false" outlineLevel="0" max="11" min="4" style="0" width="13"/>
    <col collapsed="false" customWidth="true" hidden="false" outlineLevel="0" max="12" min="12" style="0" width="14"/>
    <col collapsed="false" customWidth="true" hidden="false" outlineLevel="0" max="16" min="13" style="0" width="12"/>
    <col collapsed="false" customWidth="true" hidden="false" outlineLevel="0" max="19" min="17" style="0" width="13"/>
  </cols>
  <sheetData>
    <row r="1" customFormat="false" ht="36" hidden="false" customHeight="true" outlineLevel="0" collapsed="false">
      <c r="A1" s="1" t="s">
        <v>121</v>
      </c>
      <c r="B1" s="1"/>
      <c r="C1" s="1"/>
      <c r="D1" s="1"/>
      <c r="E1" s="1"/>
      <c r="F1" s="1"/>
      <c r="G1" s="1"/>
      <c r="H1" s="1"/>
      <c r="I1" s="1"/>
      <c r="J1" s="1"/>
      <c r="K1" s="1"/>
      <c r="L1" s="1"/>
      <c r="M1" s="1"/>
      <c r="N1" s="1"/>
      <c r="O1" s="1"/>
      <c r="P1" s="1"/>
      <c r="Q1" s="1"/>
      <c r="R1" s="1"/>
      <c r="S1" s="1"/>
    </row>
    <row r="2" customFormat="false" ht="19.5" hidden="false" customHeight="true" outlineLevel="0" collapsed="false">
      <c r="A2" s="2" t="s">
        <v>1</v>
      </c>
      <c r="B2" s="3"/>
      <c r="C2" s="2" t="s">
        <v>2</v>
      </c>
      <c r="D2" s="3"/>
      <c r="E2" s="2" t="s">
        <v>3</v>
      </c>
      <c r="F2" s="3"/>
      <c r="G2" s="2" t="s">
        <v>4</v>
      </c>
      <c r="H2" s="3"/>
      <c r="I2" s="2" t="s">
        <v>5</v>
      </c>
      <c r="J2" s="3"/>
    </row>
    <row r="3" customFormat="false" ht="19.5" hidden="false" customHeight="true" outlineLevel="0" collapsed="false">
      <c r="A3" s="4" t="s">
        <v>6</v>
      </c>
      <c r="B3" s="5" t="n">
        <v>0.1</v>
      </c>
      <c r="C3" s="6" t="s">
        <v>122</v>
      </c>
      <c r="D3" s="6"/>
      <c r="E3" s="6"/>
      <c r="F3" s="6"/>
      <c r="G3" s="6"/>
      <c r="H3" s="6"/>
    </row>
    <row r="5" customFormat="false" ht="18" hidden="false" customHeight="true" outlineLevel="0" collapsed="false">
      <c r="A5" s="7" t="s">
        <v>8</v>
      </c>
      <c r="B5" s="7"/>
      <c r="C5" s="12" t="s">
        <v>123</v>
      </c>
      <c r="D5" s="8" t="s">
        <v>124</v>
      </c>
      <c r="E5" s="8"/>
      <c r="F5" s="8"/>
      <c r="G5" s="13" t="s">
        <v>125</v>
      </c>
      <c r="H5" s="39" t="s">
        <v>126</v>
      </c>
      <c r="I5" s="39"/>
      <c r="J5" s="10" t="s">
        <v>91</v>
      </c>
      <c r="K5" s="10"/>
      <c r="L5" s="10"/>
      <c r="M5" s="9" t="s">
        <v>92</v>
      </c>
      <c r="N5" s="9"/>
      <c r="O5" s="9"/>
      <c r="P5" s="9"/>
      <c r="Q5" s="12" t="s">
        <v>93</v>
      </c>
      <c r="R5" s="12" t="s">
        <v>94</v>
      </c>
      <c r="S5" s="11" t="s">
        <v>15</v>
      </c>
    </row>
    <row r="6" customFormat="false" ht="31.5" hidden="false" customHeight="true" outlineLevel="0" collapsed="false">
      <c r="A6" s="12" t="s">
        <v>16</v>
      </c>
      <c r="B6" s="12" t="s">
        <v>127</v>
      </c>
      <c r="C6" s="12" t="s">
        <v>128</v>
      </c>
      <c r="D6" s="13" t="s">
        <v>129</v>
      </c>
      <c r="E6" s="13" t="s">
        <v>130</v>
      </c>
      <c r="F6" s="13" t="s">
        <v>131</v>
      </c>
      <c r="G6" s="13" t="s">
        <v>132</v>
      </c>
      <c r="H6" s="41" t="s">
        <v>133</v>
      </c>
      <c r="I6" s="41" t="s">
        <v>134</v>
      </c>
      <c r="J6" s="14" t="s">
        <v>33</v>
      </c>
      <c r="K6" s="14" t="s">
        <v>36</v>
      </c>
      <c r="L6" s="14" t="s">
        <v>37</v>
      </c>
      <c r="M6" s="11" t="s">
        <v>105</v>
      </c>
      <c r="N6" s="11" t="s">
        <v>106</v>
      </c>
      <c r="O6" s="11" t="s">
        <v>135</v>
      </c>
      <c r="P6" s="11" t="s">
        <v>136</v>
      </c>
      <c r="Q6" s="12" t="s">
        <v>107</v>
      </c>
      <c r="R6" s="12" t="s">
        <v>108</v>
      </c>
      <c r="S6" s="11" t="s">
        <v>38</v>
      </c>
    </row>
    <row r="8" customFormat="false" ht="18" hidden="false" customHeight="true" outlineLevel="0" collapsed="false">
      <c r="A8" s="15" t="s">
        <v>39</v>
      </c>
      <c r="B8" s="16" t="s">
        <v>137</v>
      </c>
      <c r="C8" s="16"/>
      <c r="D8" s="17"/>
      <c r="E8" s="17"/>
      <c r="F8" s="20"/>
      <c r="G8" s="18" t="n">
        <f aca="false">D8+E8</f>
        <v>0</v>
      </c>
      <c r="H8" s="17"/>
      <c r="I8" s="17"/>
      <c r="J8" s="44" t="n">
        <f aca="false">H8*$B$3</f>
        <v>0</v>
      </c>
      <c r="K8" s="17"/>
      <c r="L8" s="44" t="n">
        <f aca="false">J8-K8</f>
        <v>0</v>
      </c>
      <c r="M8" s="17"/>
      <c r="N8" s="17"/>
      <c r="O8" s="17"/>
      <c r="P8" s="17"/>
      <c r="Q8" s="18" t="str">
        <f aca="false">IF(D8&lt;&gt;"",G8-M8-N8-O8,"")</f>
        <v/>
      </c>
      <c r="R8" s="18" t="str">
        <f aca="false">IF(I8&lt;&gt;"",I8-P8,"")</f>
        <v/>
      </c>
      <c r="S8" s="20"/>
    </row>
    <row r="9" customFormat="false" ht="18" hidden="false" customHeight="true" outlineLevel="0" collapsed="false">
      <c r="A9" s="21" t="s">
        <v>138</v>
      </c>
      <c r="B9" s="22" t="s">
        <v>139</v>
      </c>
      <c r="C9" s="22"/>
      <c r="D9" s="23"/>
      <c r="E9" s="23"/>
      <c r="F9" s="24"/>
      <c r="G9" s="18" t="n">
        <f aca="false">D9+E9</f>
        <v>0</v>
      </c>
      <c r="H9" s="23"/>
      <c r="I9" s="23"/>
      <c r="J9" s="44" t="n">
        <f aca="false">H9*$B$3</f>
        <v>0</v>
      </c>
      <c r="K9" s="23"/>
      <c r="L9" s="44" t="n">
        <f aca="false">J9-K9</f>
        <v>0</v>
      </c>
      <c r="M9" s="23"/>
      <c r="N9" s="23"/>
      <c r="O9" s="23"/>
      <c r="P9" s="23"/>
      <c r="Q9" s="18" t="str">
        <f aca="false">IF(D9&lt;&gt;"",G9-M9-N9-O9,"")</f>
        <v/>
      </c>
      <c r="R9" s="18" t="str">
        <f aca="false">IF(I9&lt;&gt;"",I9-P9,"")</f>
        <v/>
      </c>
      <c r="S9" s="24"/>
    </row>
    <row r="10" customFormat="false" ht="18" hidden="false" customHeight="true" outlineLevel="0" collapsed="false">
      <c r="A10" s="15" t="s">
        <v>140</v>
      </c>
      <c r="B10" s="16" t="s">
        <v>141</v>
      </c>
      <c r="C10" s="16"/>
      <c r="D10" s="17"/>
      <c r="E10" s="17"/>
      <c r="F10" s="20"/>
      <c r="G10" s="18" t="n">
        <f aca="false">D10+E10</f>
        <v>0</v>
      </c>
      <c r="H10" s="17"/>
      <c r="I10" s="17"/>
      <c r="J10" s="44" t="n">
        <f aca="false">H10*$B$3</f>
        <v>0</v>
      </c>
      <c r="K10" s="17"/>
      <c r="L10" s="44" t="n">
        <f aca="false">J10-K10</f>
        <v>0</v>
      </c>
      <c r="M10" s="17"/>
      <c r="N10" s="17"/>
      <c r="O10" s="17"/>
      <c r="P10" s="17"/>
      <c r="Q10" s="18" t="str">
        <f aca="false">IF(D10&lt;&gt;"",G10-M10-N10-O10,"")</f>
        <v/>
      </c>
      <c r="R10" s="18" t="str">
        <f aca="false">IF(I10&lt;&gt;"",I10-P10,"")</f>
        <v/>
      </c>
      <c r="S10" s="20"/>
    </row>
    <row r="11" customFormat="false" ht="18" hidden="false" customHeight="true" outlineLevel="0" collapsed="false">
      <c r="A11" s="21" t="s">
        <v>142</v>
      </c>
      <c r="B11" s="22" t="s">
        <v>143</v>
      </c>
      <c r="C11" s="22"/>
      <c r="D11" s="23"/>
      <c r="E11" s="23"/>
      <c r="F11" s="24"/>
      <c r="G11" s="18" t="n">
        <f aca="false">D11+E11</f>
        <v>0</v>
      </c>
      <c r="H11" s="23"/>
      <c r="I11" s="23"/>
      <c r="J11" s="44" t="n">
        <f aca="false">H11*$B$3</f>
        <v>0</v>
      </c>
      <c r="K11" s="23"/>
      <c r="L11" s="44" t="n">
        <f aca="false">J11-K11</f>
        <v>0</v>
      </c>
      <c r="M11" s="23"/>
      <c r="N11" s="23"/>
      <c r="O11" s="23"/>
      <c r="P11" s="23"/>
      <c r="Q11" s="18" t="str">
        <f aca="false">IF(D11&lt;&gt;"",G11-M11-N11-O11,"")</f>
        <v/>
      </c>
      <c r="R11" s="18" t="str">
        <f aca="false">IF(I11&lt;&gt;"",I11-P11,"")</f>
        <v/>
      </c>
      <c r="S11" s="24"/>
    </row>
    <row r="12" customFormat="false" ht="18" hidden="false" customHeight="true" outlineLevel="0" collapsed="false">
      <c r="A12" s="15" t="s">
        <v>144</v>
      </c>
      <c r="B12" s="16" t="s">
        <v>145</v>
      </c>
      <c r="C12" s="16"/>
      <c r="D12" s="17"/>
      <c r="E12" s="17"/>
      <c r="F12" s="20"/>
      <c r="G12" s="18" t="n">
        <f aca="false">D12+E12</f>
        <v>0</v>
      </c>
      <c r="H12" s="17"/>
      <c r="I12" s="17"/>
      <c r="J12" s="44" t="n">
        <f aca="false">H12*$B$3</f>
        <v>0</v>
      </c>
      <c r="K12" s="17"/>
      <c r="L12" s="44" t="n">
        <f aca="false">J12-K12</f>
        <v>0</v>
      </c>
      <c r="M12" s="17"/>
      <c r="N12" s="17"/>
      <c r="O12" s="17"/>
      <c r="P12" s="17"/>
      <c r="Q12" s="18" t="str">
        <f aca="false">IF(D12&lt;&gt;"",G12-M12-N12-O12,"")</f>
        <v/>
      </c>
      <c r="R12" s="18" t="str">
        <f aca="false">IF(I12&lt;&gt;"",I12-P12,"")</f>
        <v/>
      </c>
      <c r="S12" s="20"/>
    </row>
    <row r="13" customFormat="false" ht="18" hidden="false" customHeight="true" outlineLevel="0" collapsed="false">
      <c r="A13" s="21" t="s">
        <v>146</v>
      </c>
      <c r="B13" s="22" t="s">
        <v>147</v>
      </c>
      <c r="C13" s="22"/>
      <c r="D13" s="23"/>
      <c r="E13" s="23"/>
      <c r="F13" s="24"/>
      <c r="G13" s="18" t="n">
        <f aca="false">D13+E13</f>
        <v>0</v>
      </c>
      <c r="H13" s="23"/>
      <c r="I13" s="23"/>
      <c r="J13" s="44" t="n">
        <f aca="false">H13*$B$3</f>
        <v>0</v>
      </c>
      <c r="K13" s="23"/>
      <c r="L13" s="44" t="n">
        <f aca="false">J13-K13</f>
        <v>0</v>
      </c>
      <c r="M13" s="23"/>
      <c r="N13" s="23"/>
      <c r="O13" s="23"/>
      <c r="P13" s="23"/>
      <c r="Q13" s="18" t="str">
        <f aca="false">IF(D13&lt;&gt;"",G13-M13-N13-O13,"")</f>
        <v/>
      </c>
      <c r="R13" s="18" t="str">
        <f aca="false">IF(I13&lt;&gt;"",I13-P13,"")</f>
        <v/>
      </c>
      <c r="S13" s="24"/>
    </row>
    <row r="14" customFormat="false" ht="18" hidden="false" customHeight="true" outlineLevel="0" collapsed="false">
      <c r="A14" s="15" t="s">
        <v>148</v>
      </c>
      <c r="B14" s="16" t="s">
        <v>149</v>
      </c>
      <c r="C14" s="16"/>
      <c r="D14" s="17"/>
      <c r="E14" s="17"/>
      <c r="F14" s="20"/>
      <c r="G14" s="18" t="n">
        <f aca="false">D14+E14</f>
        <v>0</v>
      </c>
      <c r="H14" s="17"/>
      <c r="I14" s="17"/>
      <c r="J14" s="44" t="n">
        <f aca="false">H14*$B$3</f>
        <v>0</v>
      </c>
      <c r="K14" s="17"/>
      <c r="L14" s="44" t="n">
        <f aca="false">J14-K14</f>
        <v>0</v>
      </c>
      <c r="M14" s="17"/>
      <c r="N14" s="17"/>
      <c r="O14" s="17"/>
      <c r="P14" s="17"/>
      <c r="Q14" s="18" t="str">
        <f aca="false">IF(D14&lt;&gt;"",G14-M14-N14-O14,"")</f>
        <v/>
      </c>
      <c r="R14" s="18" t="str">
        <f aca="false">IF(I14&lt;&gt;"",I14-P14,"")</f>
        <v/>
      </c>
      <c r="S14" s="20"/>
    </row>
    <row r="15" customFormat="false" ht="18" hidden="false" customHeight="true" outlineLevel="0" collapsed="false">
      <c r="A15" s="21" t="s">
        <v>150</v>
      </c>
      <c r="B15" s="22" t="s">
        <v>151</v>
      </c>
      <c r="C15" s="22"/>
      <c r="D15" s="23"/>
      <c r="E15" s="23"/>
      <c r="F15" s="24"/>
      <c r="G15" s="18" t="n">
        <f aca="false">D15+E15</f>
        <v>0</v>
      </c>
      <c r="H15" s="23"/>
      <c r="I15" s="23"/>
      <c r="J15" s="44" t="n">
        <f aca="false">H15*$B$3</f>
        <v>0</v>
      </c>
      <c r="K15" s="23"/>
      <c r="L15" s="44" t="n">
        <f aca="false">J15-K15</f>
        <v>0</v>
      </c>
      <c r="M15" s="23"/>
      <c r="N15" s="23"/>
      <c r="O15" s="23"/>
      <c r="P15" s="23"/>
      <c r="Q15" s="18" t="str">
        <f aca="false">IF(D15&lt;&gt;"",G15-M15-N15-O15,"")</f>
        <v/>
      </c>
      <c r="R15" s="18" t="str">
        <f aca="false">IF(I15&lt;&gt;"",I15-P15,"")</f>
        <v/>
      </c>
      <c r="S15" s="24"/>
    </row>
    <row r="16" customFormat="false" ht="18" hidden="false" customHeight="true" outlineLevel="0" collapsed="false">
      <c r="A16" s="15" t="s">
        <v>152</v>
      </c>
      <c r="B16" s="16" t="s">
        <v>153</v>
      </c>
      <c r="C16" s="16"/>
      <c r="D16" s="17"/>
      <c r="E16" s="17"/>
      <c r="F16" s="20"/>
      <c r="G16" s="18" t="n">
        <f aca="false">D16+E16</f>
        <v>0</v>
      </c>
      <c r="H16" s="17"/>
      <c r="I16" s="17"/>
      <c r="J16" s="44" t="n">
        <f aca="false">H16*$B$3</f>
        <v>0</v>
      </c>
      <c r="K16" s="17"/>
      <c r="L16" s="44" t="n">
        <f aca="false">J16-K16</f>
        <v>0</v>
      </c>
      <c r="M16" s="17"/>
      <c r="N16" s="17"/>
      <c r="O16" s="17"/>
      <c r="P16" s="17"/>
      <c r="Q16" s="18" t="str">
        <f aca="false">IF(D16&lt;&gt;"",G16-M16-N16-O16,"")</f>
        <v/>
      </c>
      <c r="R16" s="18" t="str">
        <f aca="false">IF(I16&lt;&gt;"",I16-P16,"")</f>
        <v/>
      </c>
      <c r="S16" s="20"/>
    </row>
    <row r="17" customFormat="false" ht="18" hidden="false" customHeight="true" outlineLevel="0" collapsed="false">
      <c r="A17" s="21" t="s">
        <v>154</v>
      </c>
      <c r="B17" s="22" t="s">
        <v>155</v>
      </c>
      <c r="C17" s="22"/>
      <c r="D17" s="23"/>
      <c r="E17" s="23"/>
      <c r="F17" s="24"/>
      <c r="G17" s="18" t="n">
        <f aca="false">D17+E17</f>
        <v>0</v>
      </c>
      <c r="H17" s="23"/>
      <c r="I17" s="23"/>
      <c r="J17" s="44" t="n">
        <f aca="false">H17*$B$3</f>
        <v>0</v>
      </c>
      <c r="K17" s="23"/>
      <c r="L17" s="44" t="n">
        <f aca="false">J17-K17</f>
        <v>0</v>
      </c>
      <c r="M17" s="23"/>
      <c r="N17" s="23"/>
      <c r="O17" s="23"/>
      <c r="P17" s="23"/>
      <c r="Q17" s="18" t="str">
        <f aca="false">IF(D17&lt;&gt;"",G17-M17-N17-O17,"")</f>
        <v/>
      </c>
      <c r="R17" s="18" t="str">
        <f aca="false">IF(I17&lt;&gt;"",I17-P17,"")</f>
        <v/>
      </c>
      <c r="S17" s="24"/>
    </row>
    <row r="18" customFormat="false" ht="18" hidden="false" customHeight="true" outlineLevel="0" collapsed="false">
      <c r="A18" s="15" t="s">
        <v>156</v>
      </c>
      <c r="B18" s="16" t="s">
        <v>157</v>
      </c>
      <c r="C18" s="16"/>
      <c r="D18" s="17"/>
      <c r="E18" s="17"/>
      <c r="F18" s="20"/>
      <c r="G18" s="18" t="n">
        <f aca="false">D18+E18</f>
        <v>0</v>
      </c>
      <c r="H18" s="17"/>
      <c r="I18" s="17"/>
      <c r="J18" s="44" t="n">
        <f aca="false">H18*$B$3</f>
        <v>0</v>
      </c>
      <c r="K18" s="17"/>
      <c r="L18" s="44" t="n">
        <f aca="false">J18-K18</f>
        <v>0</v>
      </c>
      <c r="M18" s="17"/>
      <c r="N18" s="17"/>
      <c r="O18" s="17"/>
      <c r="P18" s="17"/>
      <c r="Q18" s="18" t="str">
        <f aca="false">IF(D18&lt;&gt;"",G18-M18-N18-O18,"")</f>
        <v/>
      </c>
      <c r="R18" s="18" t="str">
        <f aca="false">IF(I18&lt;&gt;"",I18-P18,"")</f>
        <v/>
      </c>
      <c r="S18" s="20"/>
    </row>
    <row r="19" customFormat="false" ht="18" hidden="false" customHeight="true" outlineLevel="0" collapsed="false">
      <c r="A19" s="21" t="s">
        <v>158</v>
      </c>
      <c r="B19" s="22" t="s">
        <v>159</v>
      </c>
      <c r="C19" s="22"/>
      <c r="D19" s="23"/>
      <c r="E19" s="23"/>
      <c r="F19" s="24"/>
      <c r="G19" s="18" t="n">
        <f aca="false">D19+E19</f>
        <v>0</v>
      </c>
      <c r="H19" s="23"/>
      <c r="I19" s="23"/>
      <c r="J19" s="44" t="n">
        <f aca="false">H19*$B$3</f>
        <v>0</v>
      </c>
      <c r="K19" s="23"/>
      <c r="L19" s="44" t="n">
        <f aca="false">J19-K19</f>
        <v>0</v>
      </c>
      <c r="M19" s="23"/>
      <c r="N19" s="23"/>
      <c r="O19" s="23"/>
      <c r="P19" s="23"/>
      <c r="Q19" s="18" t="str">
        <f aca="false">IF(D19&lt;&gt;"",G19-M19-N19-O19,"")</f>
        <v/>
      </c>
      <c r="R19" s="18" t="str">
        <f aca="false">IF(I19&lt;&gt;"",I19-P19,"")</f>
        <v/>
      </c>
      <c r="S19" s="24"/>
    </row>
    <row r="20" customFormat="false" ht="18" hidden="false" customHeight="true" outlineLevel="0" collapsed="false">
      <c r="A20" s="15"/>
      <c r="B20" s="16"/>
      <c r="C20" s="16"/>
      <c r="D20" s="17"/>
      <c r="E20" s="17"/>
      <c r="F20" s="20"/>
      <c r="G20" s="18" t="n">
        <f aca="false">D20+E20</f>
        <v>0</v>
      </c>
      <c r="H20" s="17"/>
      <c r="I20" s="17"/>
      <c r="J20" s="44" t="n">
        <f aca="false">H20*$B$3</f>
        <v>0</v>
      </c>
      <c r="K20" s="17"/>
      <c r="L20" s="44" t="n">
        <f aca="false">J20-K20</f>
        <v>0</v>
      </c>
      <c r="M20" s="17"/>
      <c r="N20" s="17"/>
      <c r="O20" s="17"/>
      <c r="P20" s="17"/>
      <c r="Q20" s="18" t="str">
        <f aca="false">IF(D20&lt;&gt;"",G20-M20-N20-O20,"")</f>
        <v/>
      </c>
      <c r="R20" s="18" t="str">
        <f aca="false">IF(I20&lt;&gt;"",I20-P20,"")</f>
        <v/>
      </c>
      <c r="S20" s="20"/>
    </row>
    <row r="21" customFormat="false" ht="18" hidden="false" customHeight="true" outlineLevel="0" collapsed="false">
      <c r="A21" s="21"/>
      <c r="B21" s="22"/>
      <c r="C21" s="22"/>
      <c r="D21" s="23"/>
      <c r="E21" s="23"/>
      <c r="F21" s="24"/>
      <c r="G21" s="18" t="n">
        <f aca="false">D21+E21</f>
        <v>0</v>
      </c>
      <c r="H21" s="23"/>
      <c r="I21" s="23"/>
      <c r="J21" s="44" t="n">
        <f aca="false">H21*$B$3</f>
        <v>0</v>
      </c>
      <c r="K21" s="23"/>
      <c r="L21" s="44" t="n">
        <f aca="false">J21-K21</f>
        <v>0</v>
      </c>
      <c r="M21" s="23"/>
      <c r="N21" s="23"/>
      <c r="O21" s="23"/>
      <c r="P21" s="23"/>
      <c r="Q21" s="18" t="str">
        <f aca="false">IF(D21&lt;&gt;"",G21-M21-N21-O21,"")</f>
        <v/>
      </c>
      <c r="R21" s="18" t="str">
        <f aca="false">IF(I21&lt;&gt;"",I21-P21,"")</f>
        <v/>
      </c>
      <c r="S21" s="24"/>
    </row>
    <row r="22" customFormat="false" ht="18" hidden="false" customHeight="true" outlineLevel="0" collapsed="false">
      <c r="A22" s="15"/>
      <c r="B22" s="16"/>
      <c r="C22" s="16"/>
      <c r="D22" s="17"/>
      <c r="E22" s="17"/>
      <c r="F22" s="20"/>
      <c r="G22" s="18" t="n">
        <f aca="false">D22+E22</f>
        <v>0</v>
      </c>
      <c r="H22" s="17"/>
      <c r="I22" s="17"/>
      <c r="J22" s="44" t="n">
        <f aca="false">H22*$B$3</f>
        <v>0</v>
      </c>
      <c r="K22" s="17"/>
      <c r="L22" s="44" t="n">
        <f aca="false">J22-K22</f>
        <v>0</v>
      </c>
      <c r="M22" s="17"/>
      <c r="N22" s="17"/>
      <c r="O22" s="17"/>
      <c r="P22" s="17"/>
      <c r="Q22" s="18" t="str">
        <f aca="false">IF(D22&lt;&gt;"",G22-M22-N22-O22,"")</f>
        <v/>
      </c>
      <c r="R22" s="18" t="str">
        <f aca="false">IF(I22&lt;&gt;"",I22-P22,"")</f>
        <v/>
      </c>
      <c r="S22" s="20"/>
    </row>
    <row r="23" customFormat="false" ht="18" hidden="false" customHeight="true" outlineLevel="0" collapsed="false">
      <c r="A23" s="21"/>
      <c r="B23" s="22"/>
      <c r="C23" s="22"/>
      <c r="D23" s="23"/>
      <c r="E23" s="23"/>
      <c r="F23" s="24"/>
      <c r="G23" s="18" t="n">
        <f aca="false">D23+E23</f>
        <v>0</v>
      </c>
      <c r="H23" s="23"/>
      <c r="I23" s="23"/>
      <c r="J23" s="44" t="n">
        <f aca="false">H23*$B$3</f>
        <v>0</v>
      </c>
      <c r="K23" s="23"/>
      <c r="L23" s="44" t="n">
        <f aca="false">J23-K23</f>
        <v>0</v>
      </c>
      <c r="M23" s="23"/>
      <c r="N23" s="23"/>
      <c r="O23" s="23"/>
      <c r="P23" s="23"/>
      <c r="Q23" s="18" t="str">
        <f aca="false">IF(D23&lt;&gt;"",G23-M23-N23-O23,"")</f>
        <v/>
      </c>
      <c r="R23" s="18" t="str">
        <f aca="false">IF(I23&lt;&gt;"",I23-P23,"")</f>
        <v/>
      </c>
      <c r="S23" s="24"/>
    </row>
    <row r="24" customFormat="false" ht="18" hidden="false" customHeight="true" outlineLevel="0" collapsed="false">
      <c r="A24" s="15"/>
      <c r="B24" s="16"/>
      <c r="C24" s="16"/>
      <c r="D24" s="17"/>
      <c r="E24" s="17"/>
      <c r="F24" s="20"/>
      <c r="G24" s="18" t="n">
        <f aca="false">D24+E24</f>
        <v>0</v>
      </c>
      <c r="H24" s="17"/>
      <c r="I24" s="17"/>
      <c r="J24" s="44" t="n">
        <f aca="false">H24*$B$3</f>
        <v>0</v>
      </c>
      <c r="K24" s="17"/>
      <c r="L24" s="44" t="n">
        <f aca="false">J24-K24</f>
        <v>0</v>
      </c>
      <c r="M24" s="17"/>
      <c r="N24" s="17"/>
      <c r="O24" s="17"/>
      <c r="P24" s="17"/>
      <c r="Q24" s="18" t="str">
        <f aca="false">IF(D24&lt;&gt;"",G24-M24-N24-O24,"")</f>
        <v/>
      </c>
      <c r="R24" s="18" t="str">
        <f aca="false">IF(I24&lt;&gt;"",I24-P24,"")</f>
        <v/>
      </c>
      <c r="S24" s="20"/>
    </row>
    <row r="25" customFormat="false" ht="18" hidden="false" customHeight="true" outlineLevel="0" collapsed="false">
      <c r="A25" s="21"/>
      <c r="B25" s="22"/>
      <c r="C25" s="22"/>
      <c r="D25" s="23"/>
      <c r="E25" s="23"/>
      <c r="F25" s="24"/>
      <c r="G25" s="18" t="n">
        <f aca="false">D25+E25</f>
        <v>0</v>
      </c>
      <c r="H25" s="23"/>
      <c r="I25" s="23"/>
      <c r="J25" s="44" t="n">
        <f aca="false">H25*$B$3</f>
        <v>0</v>
      </c>
      <c r="K25" s="23"/>
      <c r="L25" s="44" t="n">
        <f aca="false">J25-K25</f>
        <v>0</v>
      </c>
      <c r="M25" s="23"/>
      <c r="N25" s="23"/>
      <c r="O25" s="23"/>
      <c r="P25" s="23"/>
      <c r="Q25" s="18" t="str">
        <f aca="false">IF(D25&lt;&gt;"",G25-M25-N25-O25,"")</f>
        <v/>
      </c>
      <c r="R25" s="18" t="str">
        <f aca="false">IF(I25&lt;&gt;"",I25-P25,"")</f>
        <v/>
      </c>
      <c r="S25" s="24"/>
    </row>
    <row r="26" customFormat="false" ht="18" hidden="false" customHeight="true" outlineLevel="0" collapsed="false">
      <c r="A26" s="15"/>
      <c r="B26" s="16"/>
      <c r="C26" s="16"/>
      <c r="D26" s="17"/>
      <c r="E26" s="17"/>
      <c r="F26" s="20"/>
      <c r="G26" s="18" t="n">
        <f aca="false">D26+E26</f>
        <v>0</v>
      </c>
      <c r="H26" s="17"/>
      <c r="I26" s="17"/>
      <c r="J26" s="44" t="n">
        <f aca="false">H26*$B$3</f>
        <v>0</v>
      </c>
      <c r="K26" s="17"/>
      <c r="L26" s="44" t="n">
        <f aca="false">J26-K26</f>
        <v>0</v>
      </c>
      <c r="M26" s="17"/>
      <c r="N26" s="17"/>
      <c r="O26" s="17"/>
      <c r="P26" s="17"/>
      <c r="Q26" s="18" t="str">
        <f aca="false">IF(D26&lt;&gt;"",G26-M26-N26-O26,"")</f>
        <v/>
      </c>
      <c r="R26" s="18" t="str">
        <f aca="false">IF(I26&lt;&gt;"",I26-P26,"")</f>
        <v/>
      </c>
      <c r="S26" s="20"/>
    </row>
    <row r="27" customFormat="false" ht="18" hidden="false" customHeight="true" outlineLevel="0" collapsed="false">
      <c r="A27" s="21"/>
      <c r="B27" s="22"/>
      <c r="C27" s="22"/>
      <c r="D27" s="23"/>
      <c r="E27" s="23"/>
      <c r="F27" s="24"/>
      <c r="G27" s="18" t="n">
        <f aca="false">D27+E27</f>
        <v>0</v>
      </c>
      <c r="H27" s="23"/>
      <c r="I27" s="23"/>
      <c r="J27" s="44" t="n">
        <f aca="false">H27*$B$3</f>
        <v>0</v>
      </c>
      <c r="K27" s="23"/>
      <c r="L27" s="44" t="n">
        <f aca="false">J27-K27</f>
        <v>0</v>
      </c>
      <c r="M27" s="23"/>
      <c r="N27" s="23"/>
      <c r="O27" s="23"/>
      <c r="P27" s="23"/>
      <c r="Q27" s="18" t="str">
        <f aca="false">IF(D27&lt;&gt;"",G27-M27-N27-O27,"")</f>
        <v/>
      </c>
      <c r="R27" s="18" t="str">
        <f aca="false">IF(I27&lt;&gt;"",I27-P27,"")</f>
        <v/>
      </c>
      <c r="S27" s="24"/>
    </row>
    <row r="28" customFormat="false" ht="21.75" hidden="false" customHeight="true" outlineLevel="0" collapsed="false">
      <c r="A28" s="28" t="s">
        <v>68</v>
      </c>
      <c r="B28" s="28"/>
      <c r="C28" s="28"/>
      <c r="D28" s="29" t="n">
        <f aca="false">SUM(D8:D27)</f>
        <v>0</v>
      </c>
      <c r="E28" s="29" t="n">
        <f aca="false">SUM(E8:E27)</f>
        <v>0</v>
      </c>
      <c r="G28" s="29" t="n">
        <f aca="false">SUM(G8:G27)</f>
        <v>0</v>
      </c>
      <c r="H28" s="29" t="n">
        <f aca="false">SUM(H8:H27)</f>
        <v>0</v>
      </c>
      <c r="I28" s="29" t="n">
        <f aca="false">SUM(I8:I27)</f>
        <v>0</v>
      </c>
      <c r="J28" s="29" t="n">
        <f aca="false">SUM(J8:J27)</f>
        <v>0</v>
      </c>
      <c r="K28" s="29" t="n">
        <f aca="false">SUM(K8:K27)</f>
        <v>0</v>
      </c>
      <c r="L28" s="29" t="n">
        <f aca="false">SUM(L8:L27)</f>
        <v>0</v>
      </c>
      <c r="M28" s="29" t="n">
        <f aca="false">SUM(M8:M27)</f>
        <v>0</v>
      </c>
      <c r="N28" s="29" t="n">
        <f aca="false">SUM(N8:N27)</f>
        <v>0</v>
      </c>
      <c r="O28" s="29" t="n">
        <f aca="false">SUM(O8:O27)</f>
        <v>0</v>
      </c>
      <c r="P28" s="29" t="n">
        <f aca="false">SUM(P8:P27)</f>
        <v>0</v>
      </c>
      <c r="Q28" s="29" t="n">
        <f aca="false">SUM(Q8:Q27)</f>
        <v>0</v>
      </c>
      <c r="R28" s="29" t="n">
        <f aca="false">SUM(R8:R27)</f>
        <v>0</v>
      </c>
    </row>
    <row r="30" customFormat="false" ht="19.5" hidden="false" customHeight="true" outlineLevel="0" collapsed="false">
      <c r="A30" s="30" t="s">
        <v>160</v>
      </c>
      <c r="B30" s="30"/>
      <c r="C30" s="30"/>
      <c r="D30" s="30"/>
      <c r="E30" s="30"/>
      <c r="F30" s="30"/>
    </row>
    <row r="31" customFormat="false" ht="18" hidden="false" customHeight="true" outlineLevel="0" collapsed="false">
      <c r="A31" s="32" t="s">
        <v>161</v>
      </c>
      <c r="B31" s="32"/>
      <c r="C31" s="32"/>
      <c r="D31" s="32"/>
      <c r="E31" s="32"/>
      <c r="F31" s="31" t="n">
        <f aca="false">D28</f>
        <v>0</v>
      </c>
    </row>
    <row r="32" customFormat="false" ht="18" hidden="false" customHeight="true" outlineLevel="0" collapsed="false">
      <c r="A32" s="27" t="s">
        <v>162</v>
      </c>
      <c r="B32" s="27"/>
      <c r="C32" s="27"/>
      <c r="D32" s="27"/>
      <c r="E32" s="27"/>
      <c r="F32" s="31" t="n">
        <f aca="false">E28</f>
        <v>0</v>
      </c>
    </row>
    <row r="33" customFormat="false" ht="18" hidden="false" customHeight="true" outlineLevel="0" collapsed="false">
      <c r="A33" s="32" t="s">
        <v>163</v>
      </c>
      <c r="B33" s="32"/>
      <c r="C33" s="32"/>
      <c r="D33" s="32"/>
      <c r="E33" s="32"/>
      <c r="F33" s="31" t="n">
        <f aca="false">G28</f>
        <v>0</v>
      </c>
    </row>
    <row r="34" customFormat="false" ht="18" hidden="false" customHeight="true" outlineLevel="0" collapsed="false">
      <c r="A34" s="27" t="s">
        <v>164</v>
      </c>
      <c r="B34" s="27"/>
      <c r="C34" s="27"/>
      <c r="D34" s="27"/>
      <c r="E34" s="27"/>
      <c r="F34" s="31" t="n">
        <f aca="false">H28</f>
        <v>0</v>
      </c>
    </row>
    <row r="35" customFormat="false" ht="18" hidden="false" customHeight="true" outlineLevel="0" collapsed="false">
      <c r="A35" s="32" t="s">
        <v>74</v>
      </c>
      <c r="B35" s="32"/>
      <c r="C35" s="32"/>
      <c r="D35" s="32"/>
      <c r="E35" s="32"/>
      <c r="F35" s="31" t="n">
        <f aca="false">I28</f>
        <v>0</v>
      </c>
    </row>
    <row r="36" customFormat="false" ht="18" hidden="false" customHeight="true" outlineLevel="0" collapsed="false">
      <c r="A36" s="27" t="s">
        <v>165</v>
      </c>
      <c r="B36" s="27"/>
      <c r="C36" s="27"/>
      <c r="D36" s="27"/>
      <c r="E36" s="27"/>
      <c r="F36" s="31" t="n">
        <f aca="false">H28-I28</f>
        <v>0</v>
      </c>
    </row>
    <row r="37" customFormat="false" ht="18" hidden="false" customHeight="true" outlineLevel="0" collapsed="false">
      <c r="A37" s="32" t="s">
        <v>166</v>
      </c>
      <c r="B37" s="32"/>
      <c r="C37" s="32"/>
      <c r="D37" s="32"/>
      <c r="E37" s="32"/>
      <c r="F37" s="33" t="n">
        <f aca="false">J28</f>
        <v>0</v>
      </c>
    </row>
    <row r="38" customFormat="false" ht="18" hidden="false" customHeight="true" outlineLevel="0" collapsed="false">
      <c r="A38" s="27" t="s">
        <v>75</v>
      </c>
      <c r="B38" s="27"/>
      <c r="C38" s="27"/>
      <c r="D38" s="27"/>
      <c r="E38" s="27"/>
      <c r="F38" s="31" t="n">
        <f aca="false">K28</f>
        <v>0</v>
      </c>
    </row>
    <row r="39" customFormat="false" ht="18" hidden="false" customHeight="true" outlineLevel="0" collapsed="false">
      <c r="A39" s="32" t="s">
        <v>167</v>
      </c>
      <c r="B39" s="32"/>
      <c r="C39" s="32"/>
      <c r="D39" s="32"/>
      <c r="E39" s="32"/>
      <c r="F39" s="33" t="n">
        <f aca="false">L28</f>
        <v>0</v>
      </c>
    </row>
    <row r="40" customFormat="false" ht="18" hidden="false" customHeight="true" outlineLevel="0" collapsed="false">
      <c r="A40" s="27" t="s">
        <v>168</v>
      </c>
      <c r="B40" s="27"/>
      <c r="C40" s="27"/>
      <c r="D40" s="27"/>
      <c r="E40" s="27"/>
      <c r="F40" s="31" t="n">
        <f aca="false">M28+N28+O28</f>
        <v>0</v>
      </c>
    </row>
    <row r="41" customFormat="false" ht="18" hidden="false" customHeight="true" outlineLevel="0" collapsed="false">
      <c r="A41" s="32" t="s">
        <v>117</v>
      </c>
      <c r="B41" s="32"/>
      <c r="C41" s="32"/>
      <c r="D41" s="32"/>
      <c r="E41" s="32"/>
      <c r="F41" s="31" t="n">
        <f aca="false">Q28</f>
        <v>0</v>
      </c>
    </row>
    <row r="42" customFormat="false" ht="18" hidden="false" customHeight="true" outlineLevel="0" collapsed="false">
      <c r="A42" s="27" t="s">
        <v>118</v>
      </c>
      <c r="B42" s="27"/>
      <c r="C42" s="27"/>
      <c r="D42" s="27"/>
      <c r="E42" s="27"/>
      <c r="F42" s="34" t="n">
        <f aca="false">IF(G28&lt;&gt;0,Q28/G28,0)</f>
        <v>0</v>
      </c>
    </row>
    <row r="43" customFormat="false" ht="18" hidden="false" customHeight="true" outlineLevel="0" collapsed="false">
      <c r="A43" s="32" t="s">
        <v>119</v>
      </c>
      <c r="B43" s="32"/>
      <c r="C43" s="32"/>
      <c r="D43" s="32"/>
      <c r="E43" s="32"/>
      <c r="F43" s="31" t="n">
        <f aca="false">R28</f>
        <v>0</v>
      </c>
    </row>
    <row r="44" customFormat="false" ht="30" hidden="false" customHeight="true" outlineLevel="0" collapsed="false">
      <c r="A44" s="49" t="s">
        <v>169</v>
      </c>
      <c r="B44" s="49"/>
      <c r="C44" s="49"/>
      <c r="D44" s="49"/>
      <c r="E44" s="49"/>
      <c r="F44" s="49"/>
      <c r="G44" s="49"/>
      <c r="H44" s="49"/>
      <c r="I44" s="49"/>
      <c r="J44" s="49"/>
      <c r="K44" s="49"/>
      <c r="L44" s="49"/>
      <c r="M44" s="49"/>
      <c r="N44" s="49"/>
      <c r="O44" s="49"/>
      <c r="P44" s="49"/>
      <c r="Q44" s="49"/>
      <c r="R44" s="49"/>
      <c r="S44" s="49"/>
    </row>
    <row r="46" customFormat="false" ht="19.5" hidden="false" customHeight="true" outlineLevel="0" collapsed="false">
      <c r="A46" s="30" t="s">
        <v>83</v>
      </c>
      <c r="B46" s="30"/>
      <c r="C46" s="30"/>
      <c r="D46" s="30"/>
      <c r="E46" s="30"/>
      <c r="F46" s="30"/>
    </row>
    <row r="47" customFormat="false" ht="18" hidden="false" customHeight="true" outlineLevel="0" collapsed="false">
      <c r="A47" s="27" t="s">
        <v>84</v>
      </c>
      <c r="B47" s="27"/>
      <c r="C47" s="27"/>
      <c r="D47" s="27"/>
      <c r="E47" s="27"/>
      <c r="F47" s="36" t="n">
        <f aca="false">MAX(1,MIN(10,IF(F41&gt;0,3,0)+IF(F41&gt;=0,3,0)+IF(F43&gt;0,2,0)+IF(F36&lt;=0,2,IF(F36&lt;5000,1,0))))</f>
        <v>5</v>
      </c>
    </row>
    <row r="48" customFormat="false" ht="15.75" hidden="false" customHeight="true" outlineLevel="0" collapsed="false">
      <c r="A48" s="37" t="s">
        <v>85</v>
      </c>
      <c r="B48" s="37"/>
      <c r="C48" s="37"/>
      <c r="D48" s="37"/>
      <c r="E48" s="37"/>
      <c r="F48" s="37"/>
    </row>
    <row r="50" customFormat="false" ht="24" hidden="false" customHeight="true" outlineLevel="0" collapsed="false">
      <c r="A50" s="38" t="s">
        <v>86</v>
      </c>
      <c r="B50" s="38"/>
      <c r="C50" s="38"/>
      <c r="D50" s="38"/>
      <c r="E50" s="38"/>
      <c r="F50" s="38"/>
      <c r="G50" s="38"/>
      <c r="H50" s="38"/>
      <c r="I50" s="38"/>
      <c r="J50" s="38"/>
      <c r="K50" s="38"/>
      <c r="L50" s="38"/>
      <c r="M50" s="38"/>
      <c r="N50" s="38"/>
      <c r="O50" s="38"/>
      <c r="P50" s="38"/>
      <c r="Q50" s="38"/>
      <c r="R50" s="38"/>
      <c r="S50" s="38"/>
    </row>
  </sheetData>
  <sheetProtection sheet="true" password="df0a"/>
  <mergeCells count="27">
    <mergeCell ref="A1:S1"/>
    <mergeCell ref="C3:H3"/>
    <mergeCell ref="A5:B5"/>
    <mergeCell ref="D5:F5"/>
    <mergeCell ref="H5:I5"/>
    <mergeCell ref="J5:L5"/>
    <mergeCell ref="M5:P5"/>
    <mergeCell ref="A28:C28"/>
    <mergeCell ref="A30:F30"/>
    <mergeCell ref="A31:E31"/>
    <mergeCell ref="A32:E32"/>
    <mergeCell ref="A33:E33"/>
    <mergeCell ref="A34:E34"/>
    <mergeCell ref="A35:E35"/>
    <mergeCell ref="A36:E36"/>
    <mergeCell ref="A37:E37"/>
    <mergeCell ref="A38:E38"/>
    <mergeCell ref="A39:E39"/>
    <mergeCell ref="A40:E40"/>
    <mergeCell ref="A41:E41"/>
    <mergeCell ref="A42:E42"/>
    <mergeCell ref="A43:E43"/>
    <mergeCell ref="A44:S44"/>
    <mergeCell ref="A46:F46"/>
    <mergeCell ref="A47:E47"/>
    <mergeCell ref="A48:F48"/>
    <mergeCell ref="A50:S50"/>
  </mergeCells>
  <conditionalFormatting sqref="F8:F27">
    <cfRule type="cellIs" priority="2" operator="equal" aboveAverage="0" equalAverage="0" bottom="0" percent="0" rank="0" text="" dxfId="9">
      <formula>"Requested"</formula>
    </cfRule>
    <cfRule type="cellIs" priority="3" operator="equal" aboveAverage="0" equalAverage="0" bottom="0" percent="0" rank="0" text="" dxfId="0">
      <formula>"Approved"</formula>
    </cfRule>
    <cfRule type="cellIs" priority="4" operator="equal" aboveAverage="0" equalAverage="0" bottom="0" percent="0" rank="0" text="" dxfId="3">
      <formula>"Billed"</formula>
    </cfRule>
    <cfRule type="cellIs" priority="5" operator="equal" aboveAverage="0" equalAverage="0" bottom="0" percent="0" rank="0" text="" dxfId="10">
      <formula>"Collected"</formula>
    </cfRule>
    <cfRule type="cellIs" priority="6" operator="equal" aboveAverage="0" equalAverage="0" bottom="0" percent="0" rank="0" text="" dxfId="2">
      <formula>"Rejected"</formula>
    </cfRule>
  </conditionalFormatting>
  <conditionalFormatting sqref="S8:S27">
    <cfRule type="cellIs" priority="7" operator="equal" aboveAverage="0" equalAverage="0" bottom="0" percent="0" rank="0" text="" dxfId="0">
      <formula>"On Track"</formula>
    </cfRule>
    <cfRule type="cellIs" priority="8" operator="equal" aboveAverage="0" equalAverage="0" bottom="0" percent="0" rank="0" text="" dxfId="1">
      <formula>"At Risk"</formula>
    </cfRule>
    <cfRule type="cellIs" priority="9" operator="equal" aboveAverage="0" equalAverage="0" bottom="0" percent="0" rank="0" text="" dxfId="2">
      <formula>"Over Budget"</formula>
    </cfRule>
    <cfRule type="cellIs" priority="10" operator="equal" aboveAverage="0" equalAverage="0" bottom="0" percent="0" rank="0" text="" dxfId="3">
      <formula>"Complete"</formula>
    </cfRule>
    <cfRule type="cellIs" priority="11" operator="equal" aboveAverage="0" equalAverage="0" bottom="0" percent="0" rank="0" text="" dxfId="4">
      <formula>"On Hold"</formula>
    </cfRule>
  </conditionalFormatting>
  <conditionalFormatting sqref="Q8:Q27">
    <cfRule type="cellIs" priority="12" operator="lessThan" aboveAverage="0" equalAverage="0" bottom="0" percent="0" rank="0" text="" dxfId="2">
      <formula>0</formula>
    </cfRule>
    <cfRule type="cellIs" priority="13" operator="greaterThan" aboveAverage="0" equalAverage="0" bottom="0" percent="0" rank="0" text="" dxfId="0">
      <formula>0</formula>
    </cfRule>
  </conditionalFormatting>
  <conditionalFormatting sqref="R8:R27">
    <cfRule type="cellIs" priority="14" operator="lessThan" aboveAverage="0" equalAverage="0" bottom="0" percent="0" rank="0" text="" dxfId="2">
      <formula>0</formula>
    </cfRule>
    <cfRule type="cellIs" priority="15" operator="greaterThan" aboveAverage="0" equalAverage="0" bottom="0" percent="0" rank="0" text="" dxfId="0">
      <formula>0</formula>
    </cfRule>
  </conditionalFormatting>
  <conditionalFormatting sqref="F41">
    <cfRule type="cellIs" priority="16" operator="lessThan" aboveAverage="0" equalAverage="0" bottom="0" percent="0" rank="0" text="" dxfId="2">
      <formula>0</formula>
    </cfRule>
    <cfRule type="cellIs" priority="17" operator="greaterThan" aboveAverage="0" equalAverage="0" bottom="0" percent="0" rank="0" text="" dxfId="0">
      <formula>0</formula>
    </cfRule>
  </conditionalFormatting>
  <conditionalFormatting sqref="F43">
    <cfRule type="cellIs" priority="18" operator="lessThan" aboveAverage="0" equalAverage="0" bottom="0" percent="0" rank="0" text="" dxfId="2">
      <formula>0</formula>
    </cfRule>
    <cfRule type="cellIs" priority="19" operator="greaterThan" aboveAverage="0" equalAverage="0" bottom="0" percent="0" rank="0" text="" dxfId="0">
      <formula>0</formula>
    </cfRule>
  </conditionalFormatting>
  <conditionalFormatting sqref="F47">
    <cfRule type="cellIs" priority="20" operator="between" aboveAverage="0" equalAverage="0" bottom="0" percent="0" rank="0" text="" dxfId="6">
      <formula>1</formula>
      <formula>3</formula>
    </cfRule>
    <cfRule type="cellIs" priority="21" operator="between" aboveAverage="0" equalAverage="0" bottom="0" percent="0" rank="0" text="" dxfId="7">
      <formula>4</formula>
      <formula>6</formula>
    </cfRule>
    <cfRule type="cellIs" priority="22" operator="between" aboveAverage="0" equalAverage="0" bottom="0" percent="0" rank="0" text="" dxfId="8">
      <formula>7</formula>
      <formula>10</formula>
    </cfRule>
  </conditionalFormatting>
  <dataValidations count="2">
    <dataValidation allowBlank="true" errorStyle="stop" operator="between" showDropDown="false" showErrorMessage="true" showInputMessage="false" sqref="F8:F27" type="list">
      <formula1>"Requested,Approved,Billed,Collected,Rejected"</formula1>
      <formula2>0</formula2>
    </dataValidation>
    <dataValidation allowBlank="true" errorStyle="stop" operator="between" showDropDown="false" showErrorMessage="true" showInputMessage="false" sqref="S8:S27" type="list">
      <formula1>"On Track,At Risk,Over Budget,Complete,On Hold"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7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0"/>
    <col collapsed="false" customWidth="true" hidden="false" outlineLevel="0" max="3" min="3" style="0" width="32"/>
    <col collapsed="false" customWidth="true" hidden="false" outlineLevel="0" max="4" min="4" style="0" width="48"/>
    <col collapsed="false" customWidth="true" hidden="false" outlineLevel="0" max="5" min="5" style="0" width="18"/>
  </cols>
  <sheetData>
    <row r="1" customFormat="false" ht="36" hidden="false" customHeight="true" outlineLevel="0" collapsed="false">
      <c r="A1" s="1" t="s">
        <v>170</v>
      </c>
      <c r="B1" s="1"/>
      <c r="C1" s="1"/>
      <c r="D1" s="1"/>
      <c r="E1" s="1"/>
    </row>
    <row r="2" customFormat="false" ht="39.75" hidden="false" customHeight="true" outlineLevel="0" collapsed="false">
      <c r="A2" s="50" t="s">
        <v>171</v>
      </c>
      <c r="B2" s="50"/>
      <c r="C2" s="50"/>
      <c r="D2" s="50"/>
      <c r="E2" s="50"/>
    </row>
    <row r="4" customFormat="false" ht="21.75" hidden="false" customHeight="true" outlineLevel="0" collapsed="false">
      <c r="B4" s="51" t="s">
        <v>172</v>
      </c>
      <c r="C4" s="51" t="s">
        <v>173</v>
      </c>
      <c r="D4" s="51" t="s">
        <v>174</v>
      </c>
      <c r="E4" s="52" t="s">
        <v>175</v>
      </c>
    </row>
    <row r="5" customFormat="false" ht="19.5" hidden="false" customHeight="true" outlineLevel="0" collapsed="false">
      <c r="B5" s="53" t="s">
        <v>176</v>
      </c>
      <c r="C5" s="53"/>
      <c r="D5" s="53"/>
      <c r="E5" s="53"/>
    </row>
    <row r="6" customFormat="false" ht="18" hidden="false" customHeight="true" outlineLevel="0" collapsed="false">
      <c r="B6" s="54" t="s">
        <v>39</v>
      </c>
      <c r="C6" s="55" t="s">
        <v>41</v>
      </c>
      <c r="D6" s="55" t="s">
        <v>177</v>
      </c>
      <c r="E6" s="56" t="s">
        <v>178</v>
      </c>
    </row>
    <row r="7" customFormat="false" ht="18" hidden="false" customHeight="true" outlineLevel="0" collapsed="false">
      <c r="B7" s="57" t="s">
        <v>42</v>
      </c>
      <c r="C7" s="58" t="s">
        <v>43</v>
      </c>
      <c r="D7" s="58" t="s">
        <v>179</v>
      </c>
      <c r="E7" s="59" t="s">
        <v>178</v>
      </c>
    </row>
    <row r="8" customFormat="false" ht="18" hidden="false" customHeight="true" outlineLevel="0" collapsed="false">
      <c r="B8" s="54" t="s">
        <v>180</v>
      </c>
      <c r="C8" s="55" t="s">
        <v>181</v>
      </c>
      <c r="D8" s="55" t="s">
        <v>182</v>
      </c>
      <c r="E8" s="56" t="s">
        <v>178</v>
      </c>
    </row>
    <row r="9" customFormat="false" ht="18" hidden="false" customHeight="true" outlineLevel="0" collapsed="false">
      <c r="B9" s="57" t="s">
        <v>183</v>
      </c>
      <c r="C9" s="58" t="s">
        <v>45</v>
      </c>
      <c r="D9" s="58" t="s">
        <v>184</v>
      </c>
      <c r="E9" s="59" t="s">
        <v>185</v>
      </c>
    </row>
    <row r="10" customFormat="false" ht="18" hidden="false" customHeight="true" outlineLevel="0" collapsed="false">
      <c r="B10" s="54" t="s">
        <v>44</v>
      </c>
      <c r="C10" s="55" t="s">
        <v>186</v>
      </c>
      <c r="D10" s="55" t="s">
        <v>187</v>
      </c>
      <c r="E10" s="56" t="s">
        <v>188</v>
      </c>
    </row>
    <row r="11" customFormat="false" ht="19.5" hidden="false" customHeight="true" outlineLevel="0" collapsed="false">
      <c r="B11" s="53" t="s">
        <v>189</v>
      </c>
      <c r="C11" s="53"/>
      <c r="D11" s="53"/>
      <c r="E11" s="53"/>
    </row>
    <row r="12" customFormat="false" ht="18" hidden="false" customHeight="true" outlineLevel="0" collapsed="false">
      <c r="B12" s="54" t="s">
        <v>190</v>
      </c>
      <c r="C12" s="55" t="s">
        <v>191</v>
      </c>
      <c r="D12" s="55" t="s">
        <v>192</v>
      </c>
      <c r="E12" s="56" t="s">
        <v>185</v>
      </c>
    </row>
    <row r="13" customFormat="false" ht="18" hidden="false" customHeight="true" outlineLevel="0" collapsed="false">
      <c r="B13" s="57" t="s">
        <v>46</v>
      </c>
      <c r="C13" s="58" t="s">
        <v>48</v>
      </c>
      <c r="D13" s="58" t="s">
        <v>193</v>
      </c>
      <c r="E13" s="59" t="s">
        <v>178</v>
      </c>
    </row>
    <row r="14" customFormat="false" ht="18" hidden="false" customHeight="true" outlineLevel="0" collapsed="false">
      <c r="B14" s="54" t="s">
        <v>194</v>
      </c>
      <c r="C14" s="55" t="s">
        <v>195</v>
      </c>
      <c r="D14" s="55" t="s">
        <v>196</v>
      </c>
      <c r="E14" s="56" t="s">
        <v>197</v>
      </c>
    </row>
    <row r="15" customFormat="false" ht="18" hidden="false" customHeight="true" outlineLevel="0" collapsed="false">
      <c r="B15" s="57" t="s">
        <v>198</v>
      </c>
      <c r="C15" s="58" t="s">
        <v>199</v>
      </c>
      <c r="D15" s="58" t="s">
        <v>200</v>
      </c>
      <c r="E15" s="59" t="s">
        <v>197</v>
      </c>
    </row>
    <row r="16" customFormat="false" ht="19.5" hidden="false" customHeight="true" outlineLevel="0" collapsed="false">
      <c r="B16" s="53" t="s">
        <v>201</v>
      </c>
      <c r="C16" s="53"/>
      <c r="D16" s="53"/>
      <c r="E16" s="53"/>
    </row>
    <row r="17" customFormat="false" ht="18" hidden="false" customHeight="true" outlineLevel="0" collapsed="false">
      <c r="B17" s="57" t="s">
        <v>202</v>
      </c>
      <c r="C17" s="58" t="s">
        <v>203</v>
      </c>
      <c r="D17" s="58" t="s">
        <v>204</v>
      </c>
      <c r="E17" s="59" t="s">
        <v>197</v>
      </c>
    </row>
    <row r="18" customFormat="false" ht="18" hidden="false" customHeight="true" outlineLevel="0" collapsed="false">
      <c r="B18" s="54" t="s">
        <v>205</v>
      </c>
      <c r="C18" s="55" t="s">
        <v>206</v>
      </c>
      <c r="D18" s="55" t="s">
        <v>207</v>
      </c>
      <c r="E18" s="56" t="s">
        <v>197</v>
      </c>
    </row>
    <row r="19" customFormat="false" ht="18" hidden="false" customHeight="true" outlineLevel="0" collapsed="false">
      <c r="B19" s="57" t="s">
        <v>208</v>
      </c>
      <c r="C19" s="58" t="s">
        <v>50</v>
      </c>
      <c r="D19" s="58" t="s">
        <v>209</v>
      </c>
      <c r="E19" s="59" t="s">
        <v>197</v>
      </c>
    </row>
    <row r="20" customFormat="false" ht="18" hidden="false" customHeight="true" outlineLevel="0" collapsed="false">
      <c r="B20" s="54" t="s">
        <v>49</v>
      </c>
      <c r="C20" s="55" t="s">
        <v>51</v>
      </c>
      <c r="D20" s="55" t="s">
        <v>210</v>
      </c>
      <c r="E20" s="56" t="s">
        <v>178</v>
      </c>
    </row>
    <row r="21" customFormat="false" ht="18" hidden="false" customHeight="true" outlineLevel="0" collapsed="false">
      <c r="B21" s="57" t="s">
        <v>211</v>
      </c>
      <c r="C21" s="58" t="s">
        <v>52</v>
      </c>
      <c r="D21" s="58" t="s">
        <v>212</v>
      </c>
      <c r="E21" s="59" t="s">
        <v>178</v>
      </c>
    </row>
    <row r="22" customFormat="false" ht="19.5" hidden="false" customHeight="true" outlineLevel="0" collapsed="false">
      <c r="B22" s="53" t="s">
        <v>213</v>
      </c>
      <c r="C22" s="53"/>
      <c r="D22" s="53"/>
      <c r="E22" s="53"/>
    </row>
    <row r="23" customFormat="false" ht="18" hidden="false" customHeight="true" outlineLevel="0" collapsed="false">
      <c r="B23" s="57" t="s">
        <v>214</v>
      </c>
      <c r="C23" s="58" t="s">
        <v>215</v>
      </c>
      <c r="D23" s="58" t="s">
        <v>216</v>
      </c>
      <c r="E23" s="59" t="s">
        <v>197</v>
      </c>
    </row>
    <row r="24" customFormat="false" ht="18" hidden="false" customHeight="true" outlineLevel="0" collapsed="false">
      <c r="B24" s="54" t="s">
        <v>53</v>
      </c>
      <c r="C24" s="55" t="s">
        <v>217</v>
      </c>
      <c r="D24" s="55" t="s">
        <v>218</v>
      </c>
      <c r="E24" s="56" t="s">
        <v>197</v>
      </c>
    </row>
    <row r="25" customFormat="false" ht="18" hidden="false" customHeight="true" outlineLevel="0" collapsed="false">
      <c r="B25" s="57" t="s">
        <v>219</v>
      </c>
      <c r="C25" s="58" t="s">
        <v>220</v>
      </c>
      <c r="D25" s="58" t="s">
        <v>221</v>
      </c>
      <c r="E25" s="59" t="s">
        <v>222</v>
      </c>
    </row>
    <row r="26" customFormat="false" ht="18" hidden="false" customHeight="true" outlineLevel="0" collapsed="false">
      <c r="B26" s="54" t="s">
        <v>223</v>
      </c>
      <c r="C26" s="55" t="s">
        <v>224</v>
      </c>
      <c r="D26" s="55" t="s">
        <v>225</v>
      </c>
      <c r="E26" s="56" t="s">
        <v>222</v>
      </c>
    </row>
    <row r="27" customFormat="false" ht="19.5" hidden="false" customHeight="true" outlineLevel="0" collapsed="false">
      <c r="B27" s="53" t="s">
        <v>226</v>
      </c>
      <c r="C27" s="53"/>
      <c r="D27" s="53"/>
      <c r="E27" s="53"/>
    </row>
    <row r="28" customFormat="false" ht="18" hidden="false" customHeight="true" outlineLevel="0" collapsed="false">
      <c r="B28" s="54" t="s">
        <v>227</v>
      </c>
      <c r="C28" s="55" t="s">
        <v>57</v>
      </c>
      <c r="D28" s="55" t="s">
        <v>228</v>
      </c>
      <c r="E28" s="56" t="s">
        <v>222</v>
      </c>
    </row>
    <row r="29" customFormat="false" ht="18" hidden="false" customHeight="true" outlineLevel="0" collapsed="false">
      <c r="B29" s="57" t="s">
        <v>229</v>
      </c>
      <c r="C29" s="58" t="s">
        <v>230</v>
      </c>
      <c r="D29" s="58" t="s">
        <v>231</v>
      </c>
      <c r="E29" s="59" t="s">
        <v>222</v>
      </c>
    </row>
    <row r="30" customFormat="false" ht="18" hidden="false" customHeight="true" outlineLevel="0" collapsed="false">
      <c r="B30" s="54" t="s">
        <v>232</v>
      </c>
      <c r="C30" s="55" t="s">
        <v>233</v>
      </c>
      <c r="D30" s="55" t="s">
        <v>234</v>
      </c>
      <c r="E30" s="56" t="s">
        <v>185</v>
      </c>
    </row>
    <row r="31" customFormat="false" ht="18" hidden="false" customHeight="true" outlineLevel="0" collapsed="false">
      <c r="B31" s="57" t="s">
        <v>235</v>
      </c>
      <c r="C31" s="58" t="s">
        <v>236</v>
      </c>
      <c r="D31" s="58" t="s">
        <v>237</v>
      </c>
      <c r="E31" s="59" t="s">
        <v>197</v>
      </c>
    </row>
    <row r="32" customFormat="false" ht="19.5" hidden="false" customHeight="true" outlineLevel="0" collapsed="false">
      <c r="B32" s="53" t="s">
        <v>238</v>
      </c>
      <c r="C32" s="53"/>
      <c r="D32" s="53"/>
      <c r="E32" s="53"/>
    </row>
    <row r="33" customFormat="false" ht="18" hidden="false" customHeight="true" outlineLevel="0" collapsed="false">
      <c r="B33" s="57" t="s">
        <v>239</v>
      </c>
      <c r="C33" s="58" t="s">
        <v>240</v>
      </c>
      <c r="D33" s="58" t="s">
        <v>241</v>
      </c>
      <c r="E33" s="59" t="s">
        <v>197</v>
      </c>
    </row>
    <row r="34" customFormat="false" ht="18" hidden="false" customHeight="true" outlineLevel="0" collapsed="false">
      <c r="B34" s="54" t="s">
        <v>242</v>
      </c>
      <c r="C34" s="55" t="s">
        <v>243</v>
      </c>
      <c r="D34" s="55" t="s">
        <v>244</v>
      </c>
      <c r="E34" s="56" t="s">
        <v>197</v>
      </c>
    </row>
    <row r="35" customFormat="false" ht="18" hidden="false" customHeight="true" outlineLevel="0" collapsed="false">
      <c r="B35" s="57" t="s">
        <v>245</v>
      </c>
      <c r="C35" s="58" t="s">
        <v>246</v>
      </c>
      <c r="D35" s="58" t="s">
        <v>247</v>
      </c>
      <c r="E35" s="59" t="s">
        <v>222</v>
      </c>
    </row>
    <row r="36" customFormat="false" ht="18" hidden="false" customHeight="true" outlineLevel="0" collapsed="false">
      <c r="B36" s="54" t="s">
        <v>248</v>
      </c>
      <c r="C36" s="55" t="s">
        <v>249</v>
      </c>
      <c r="D36" s="55" t="s">
        <v>250</v>
      </c>
      <c r="E36" s="56" t="s">
        <v>197</v>
      </c>
    </row>
    <row r="37" customFormat="false" ht="18" hidden="false" customHeight="true" outlineLevel="0" collapsed="false">
      <c r="B37" s="57" t="s">
        <v>251</v>
      </c>
      <c r="C37" s="58" t="s">
        <v>252</v>
      </c>
      <c r="D37" s="58" t="s">
        <v>253</v>
      </c>
      <c r="E37" s="59" t="s">
        <v>222</v>
      </c>
    </row>
    <row r="38" customFormat="false" ht="18" hidden="false" customHeight="true" outlineLevel="0" collapsed="false">
      <c r="B38" s="54" t="s">
        <v>58</v>
      </c>
      <c r="C38" s="55" t="s">
        <v>254</v>
      </c>
      <c r="D38" s="55" t="s">
        <v>255</v>
      </c>
      <c r="E38" s="56" t="s">
        <v>197</v>
      </c>
    </row>
    <row r="39" customFormat="false" ht="19.5" hidden="false" customHeight="true" outlineLevel="0" collapsed="false">
      <c r="B39" s="53" t="s">
        <v>256</v>
      </c>
      <c r="C39" s="53"/>
      <c r="D39" s="53"/>
      <c r="E39" s="53"/>
    </row>
    <row r="40" customFormat="false" ht="18" hidden="false" customHeight="true" outlineLevel="0" collapsed="false">
      <c r="B40" s="54" t="s">
        <v>257</v>
      </c>
      <c r="C40" s="55" t="s">
        <v>145</v>
      </c>
      <c r="D40" s="55" t="s">
        <v>258</v>
      </c>
      <c r="E40" s="56" t="s">
        <v>222</v>
      </c>
    </row>
    <row r="41" customFormat="false" ht="18" hidden="false" customHeight="true" outlineLevel="0" collapsed="false">
      <c r="B41" s="57" t="s">
        <v>259</v>
      </c>
      <c r="C41" s="58" t="s">
        <v>147</v>
      </c>
      <c r="D41" s="58" t="s">
        <v>260</v>
      </c>
      <c r="E41" s="59" t="s">
        <v>222</v>
      </c>
    </row>
    <row r="42" customFormat="false" ht="18" hidden="false" customHeight="true" outlineLevel="0" collapsed="false">
      <c r="B42" s="54" t="s">
        <v>261</v>
      </c>
      <c r="C42" s="55" t="s">
        <v>262</v>
      </c>
      <c r="D42" s="55" t="s">
        <v>263</v>
      </c>
      <c r="E42" s="56" t="s">
        <v>222</v>
      </c>
    </row>
    <row r="43" customFormat="false" ht="18" hidden="false" customHeight="true" outlineLevel="0" collapsed="false">
      <c r="B43" s="57" t="s">
        <v>264</v>
      </c>
      <c r="C43" s="58" t="s">
        <v>265</v>
      </c>
      <c r="D43" s="58" t="s">
        <v>266</v>
      </c>
      <c r="E43" s="59" t="s">
        <v>222</v>
      </c>
    </row>
    <row r="44" customFormat="false" ht="18" hidden="false" customHeight="true" outlineLevel="0" collapsed="false">
      <c r="B44" s="54" t="s">
        <v>267</v>
      </c>
      <c r="C44" s="55" t="s">
        <v>268</v>
      </c>
      <c r="D44" s="55" t="s">
        <v>269</v>
      </c>
      <c r="E44" s="56" t="s">
        <v>185</v>
      </c>
    </row>
    <row r="45" customFormat="false" ht="18" hidden="false" customHeight="true" outlineLevel="0" collapsed="false">
      <c r="B45" s="57" t="s">
        <v>270</v>
      </c>
      <c r="C45" s="58" t="s">
        <v>151</v>
      </c>
      <c r="D45" s="58" t="s">
        <v>271</v>
      </c>
      <c r="E45" s="59" t="s">
        <v>185</v>
      </c>
    </row>
    <row r="46" customFormat="false" ht="18" hidden="false" customHeight="true" outlineLevel="0" collapsed="false">
      <c r="B46" s="54" t="s">
        <v>272</v>
      </c>
      <c r="C46" s="55" t="s">
        <v>273</v>
      </c>
      <c r="D46" s="55" t="s">
        <v>274</v>
      </c>
      <c r="E46" s="56" t="s">
        <v>185</v>
      </c>
    </row>
    <row r="47" customFormat="false" ht="18" hidden="false" customHeight="true" outlineLevel="0" collapsed="false">
      <c r="B47" s="57" t="s">
        <v>275</v>
      </c>
      <c r="C47" s="58" t="s">
        <v>276</v>
      </c>
      <c r="D47" s="58" t="s">
        <v>277</v>
      </c>
      <c r="E47" s="59" t="s">
        <v>185</v>
      </c>
    </row>
    <row r="48" customFormat="false" ht="19.5" hidden="false" customHeight="true" outlineLevel="0" collapsed="false">
      <c r="B48" s="53" t="s">
        <v>278</v>
      </c>
      <c r="C48" s="53"/>
      <c r="D48" s="53"/>
      <c r="E48" s="53"/>
    </row>
    <row r="49" customFormat="false" ht="18" hidden="false" customHeight="true" outlineLevel="0" collapsed="false">
      <c r="B49" s="57" t="s">
        <v>279</v>
      </c>
      <c r="C49" s="58" t="s">
        <v>280</v>
      </c>
      <c r="D49" s="58" t="s">
        <v>281</v>
      </c>
      <c r="E49" s="59" t="s">
        <v>185</v>
      </c>
    </row>
    <row r="50" customFormat="false" ht="18" hidden="false" customHeight="true" outlineLevel="0" collapsed="false">
      <c r="B50" s="54" t="s">
        <v>282</v>
      </c>
      <c r="C50" s="55" t="s">
        <v>283</v>
      </c>
      <c r="D50" s="55" t="s">
        <v>284</v>
      </c>
      <c r="E50" s="56" t="s">
        <v>178</v>
      </c>
    </row>
    <row r="51" customFormat="false" ht="18" hidden="false" customHeight="true" outlineLevel="0" collapsed="false">
      <c r="B51" s="57" t="s">
        <v>285</v>
      </c>
      <c r="C51" s="58" t="s">
        <v>286</v>
      </c>
      <c r="D51" s="58" t="s">
        <v>287</v>
      </c>
      <c r="E51" s="59" t="s">
        <v>185</v>
      </c>
    </row>
    <row r="52" customFormat="false" ht="18" hidden="false" customHeight="true" outlineLevel="0" collapsed="false">
      <c r="B52" s="54" t="s">
        <v>61</v>
      </c>
      <c r="C52" s="55" t="s">
        <v>288</v>
      </c>
      <c r="D52" s="55" t="s">
        <v>289</v>
      </c>
      <c r="E52" s="56" t="s">
        <v>178</v>
      </c>
    </row>
    <row r="53" customFormat="false" ht="19.5" hidden="false" customHeight="true" outlineLevel="0" collapsed="false">
      <c r="B53" s="53" t="s">
        <v>290</v>
      </c>
      <c r="C53" s="53"/>
      <c r="D53" s="53"/>
      <c r="E53" s="53"/>
    </row>
    <row r="54" customFormat="false" ht="18" hidden="false" customHeight="true" outlineLevel="0" collapsed="false">
      <c r="B54" s="54" t="s">
        <v>291</v>
      </c>
      <c r="C54" s="55" t="s">
        <v>292</v>
      </c>
      <c r="D54" s="55" t="s">
        <v>293</v>
      </c>
      <c r="E54" s="56" t="s">
        <v>185</v>
      </c>
    </row>
    <row r="55" customFormat="false" ht="18" hidden="false" customHeight="true" outlineLevel="0" collapsed="false">
      <c r="B55" s="57" t="s">
        <v>294</v>
      </c>
      <c r="C55" s="58" t="s">
        <v>66</v>
      </c>
      <c r="D55" s="58" t="s">
        <v>295</v>
      </c>
      <c r="E55" s="59" t="s">
        <v>188</v>
      </c>
    </row>
    <row r="56" customFormat="false" ht="18" hidden="false" customHeight="true" outlineLevel="0" collapsed="false">
      <c r="B56" s="54" t="s">
        <v>296</v>
      </c>
      <c r="C56" s="55" t="s">
        <v>297</v>
      </c>
      <c r="D56" s="55" t="s">
        <v>298</v>
      </c>
      <c r="E56" s="56" t="s">
        <v>185</v>
      </c>
    </row>
    <row r="57" customFormat="false" ht="18" hidden="false" customHeight="true" outlineLevel="0" collapsed="false">
      <c r="B57" s="57" t="s">
        <v>299</v>
      </c>
      <c r="C57" s="58" t="s">
        <v>300</v>
      </c>
      <c r="D57" s="58" t="s">
        <v>301</v>
      </c>
      <c r="E57" s="59" t="s">
        <v>188</v>
      </c>
    </row>
    <row r="58" customFormat="false" ht="19.5" hidden="false" customHeight="true" outlineLevel="0" collapsed="false">
      <c r="B58" s="53" t="s">
        <v>302</v>
      </c>
      <c r="C58" s="53"/>
      <c r="D58" s="53"/>
      <c r="E58" s="53"/>
    </row>
    <row r="59" customFormat="false" ht="18" hidden="false" customHeight="true" outlineLevel="0" collapsed="false">
      <c r="B59" s="57" t="s">
        <v>303</v>
      </c>
      <c r="C59" s="58" t="s">
        <v>304</v>
      </c>
      <c r="D59" s="58" t="s">
        <v>305</v>
      </c>
      <c r="E59" s="59" t="s">
        <v>306</v>
      </c>
    </row>
    <row r="60" customFormat="false" ht="18" hidden="false" customHeight="true" outlineLevel="0" collapsed="false">
      <c r="B60" s="54" t="s">
        <v>307</v>
      </c>
      <c r="C60" s="55" t="s">
        <v>308</v>
      </c>
      <c r="D60" s="55" t="s">
        <v>309</v>
      </c>
      <c r="E60" s="56" t="s">
        <v>306</v>
      </c>
    </row>
    <row r="61" customFormat="false" ht="18" hidden="false" customHeight="true" outlineLevel="0" collapsed="false">
      <c r="B61" s="57" t="s">
        <v>310</v>
      </c>
      <c r="C61" s="58" t="s">
        <v>311</v>
      </c>
      <c r="D61" s="58" t="s">
        <v>312</v>
      </c>
      <c r="E61" s="59" t="s">
        <v>306</v>
      </c>
    </row>
    <row r="62" customFormat="false" ht="18" hidden="false" customHeight="true" outlineLevel="0" collapsed="false">
      <c r="B62" s="54" t="s">
        <v>313</v>
      </c>
      <c r="C62" s="55" t="s">
        <v>314</v>
      </c>
      <c r="D62" s="55" t="s">
        <v>315</v>
      </c>
      <c r="E62" s="56" t="s">
        <v>306</v>
      </c>
    </row>
    <row r="63" customFormat="false" ht="18" hidden="false" customHeight="true" outlineLevel="0" collapsed="false">
      <c r="B63" s="57" t="s">
        <v>316</v>
      </c>
      <c r="C63" s="58" t="s">
        <v>317</v>
      </c>
      <c r="D63" s="58" t="s">
        <v>318</v>
      </c>
      <c r="E63" s="59" t="s">
        <v>306</v>
      </c>
    </row>
    <row r="64" customFormat="false" ht="18" hidden="false" customHeight="true" outlineLevel="0" collapsed="false">
      <c r="B64" s="54" t="s">
        <v>319</v>
      </c>
      <c r="C64" s="55" t="s">
        <v>320</v>
      </c>
      <c r="D64" s="55" t="s">
        <v>321</v>
      </c>
      <c r="E64" s="56" t="s">
        <v>306</v>
      </c>
    </row>
    <row r="65" customFormat="false" ht="18" hidden="false" customHeight="true" outlineLevel="0" collapsed="false">
      <c r="B65" s="57" t="s">
        <v>322</v>
      </c>
      <c r="C65" s="58" t="s">
        <v>323</v>
      </c>
      <c r="D65" s="58" t="s">
        <v>324</v>
      </c>
      <c r="E65" s="59" t="s">
        <v>306</v>
      </c>
    </row>
    <row r="66" customFormat="false" ht="18" hidden="false" customHeight="true" outlineLevel="0" collapsed="false">
      <c r="B66" s="54" t="s">
        <v>325</v>
      </c>
      <c r="C66" s="55" t="s">
        <v>326</v>
      </c>
      <c r="D66" s="55" t="s">
        <v>327</v>
      </c>
      <c r="E66" s="56" t="s">
        <v>306</v>
      </c>
    </row>
    <row r="67" customFormat="false" ht="18" hidden="false" customHeight="true" outlineLevel="0" collapsed="false">
      <c r="B67" s="57" t="s">
        <v>328</v>
      </c>
      <c r="C67" s="58" t="s">
        <v>329</v>
      </c>
      <c r="D67" s="58" t="s">
        <v>330</v>
      </c>
      <c r="E67" s="59" t="s">
        <v>306</v>
      </c>
    </row>
    <row r="68" customFormat="false" ht="18" hidden="false" customHeight="true" outlineLevel="0" collapsed="false">
      <c r="B68" s="54" t="s">
        <v>331</v>
      </c>
      <c r="C68" s="55" t="s">
        <v>332</v>
      </c>
      <c r="D68" s="55" t="s">
        <v>333</v>
      </c>
      <c r="E68" s="56" t="s">
        <v>306</v>
      </c>
    </row>
    <row r="70" customFormat="false" ht="36" hidden="false" customHeight="true" outlineLevel="0" collapsed="false">
      <c r="A70" s="60" t="s">
        <v>334</v>
      </c>
      <c r="B70" s="60"/>
      <c r="C70" s="60"/>
      <c r="D70" s="60"/>
      <c r="E70" s="60"/>
    </row>
    <row r="72" customFormat="false" ht="24" hidden="false" customHeight="true" outlineLevel="0" collapsed="false">
      <c r="A72" s="38" t="s">
        <v>86</v>
      </c>
      <c r="B72" s="38"/>
      <c r="C72" s="38"/>
      <c r="D72" s="38"/>
      <c r="E72" s="38"/>
    </row>
  </sheetData>
  <sheetProtection sheet="true" password="df0a"/>
  <mergeCells count="14">
    <mergeCell ref="A1:E1"/>
    <mergeCell ref="A2:E2"/>
    <mergeCell ref="B5:E5"/>
    <mergeCell ref="B11:E11"/>
    <mergeCell ref="B16:E16"/>
    <mergeCell ref="B22:E22"/>
    <mergeCell ref="B27:E27"/>
    <mergeCell ref="B32:E32"/>
    <mergeCell ref="B39:E39"/>
    <mergeCell ref="B48:E48"/>
    <mergeCell ref="B53:E53"/>
    <mergeCell ref="B58:E58"/>
    <mergeCell ref="A70:E70"/>
    <mergeCell ref="A72:E7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28"/>
    <col collapsed="false" customWidth="true" hidden="false" outlineLevel="0" max="3" min="3" style="0" width="65"/>
  </cols>
  <sheetData>
    <row r="1" customFormat="false" ht="36" hidden="false" customHeight="true" outlineLevel="0" collapsed="false">
      <c r="A1" s="1" t="s">
        <v>335</v>
      </c>
      <c r="B1" s="1"/>
      <c r="C1" s="1"/>
    </row>
    <row r="3" customFormat="false" ht="60" hidden="false" customHeight="true" outlineLevel="0" collapsed="false">
      <c r="A3" s="61" t="s">
        <v>336</v>
      </c>
      <c r="B3" s="61"/>
      <c r="C3" s="61"/>
    </row>
    <row r="5" customFormat="false" ht="24" hidden="false" customHeight="true" outlineLevel="0" collapsed="false">
      <c r="A5" s="62" t="s">
        <v>337</v>
      </c>
      <c r="B5" s="62"/>
      <c r="C5" s="62"/>
    </row>
    <row r="6" customFormat="false" ht="48" hidden="false" customHeight="true" outlineLevel="0" collapsed="false">
      <c r="B6" s="63" t="s">
        <v>338</v>
      </c>
      <c r="C6" s="64" t="s">
        <v>339</v>
      </c>
    </row>
    <row r="7" customFormat="false" ht="48" hidden="false" customHeight="true" outlineLevel="0" collapsed="false">
      <c r="B7" s="63" t="s">
        <v>340</v>
      </c>
      <c r="C7" s="64" t="s">
        <v>341</v>
      </c>
    </row>
    <row r="8" customFormat="false" ht="48" hidden="false" customHeight="true" outlineLevel="0" collapsed="false">
      <c r="B8" s="63" t="s">
        <v>342</v>
      </c>
      <c r="C8" s="64" t="s">
        <v>343</v>
      </c>
    </row>
    <row r="10" customFormat="false" ht="24" hidden="false" customHeight="true" outlineLevel="0" collapsed="false">
      <c r="A10" s="65" t="s">
        <v>344</v>
      </c>
      <c r="B10" s="65"/>
      <c r="C10" s="65"/>
    </row>
    <row r="11" customFormat="false" ht="48" hidden="false" customHeight="true" outlineLevel="0" collapsed="false">
      <c r="B11" s="66" t="s">
        <v>345</v>
      </c>
      <c r="C11" s="67" t="s">
        <v>346</v>
      </c>
    </row>
    <row r="12" customFormat="false" ht="48" hidden="false" customHeight="true" outlineLevel="0" collapsed="false">
      <c r="B12" s="66" t="s">
        <v>347</v>
      </c>
      <c r="C12" s="67" t="s">
        <v>348</v>
      </c>
    </row>
    <row r="14" customFormat="false" ht="24" hidden="false" customHeight="true" outlineLevel="0" collapsed="false">
      <c r="A14" s="62" t="s">
        <v>349</v>
      </c>
      <c r="B14" s="62"/>
      <c r="C14" s="62"/>
    </row>
    <row r="15" customFormat="false" ht="48" hidden="false" customHeight="true" outlineLevel="0" collapsed="false">
      <c r="B15" s="63" t="s">
        <v>350</v>
      </c>
      <c r="C15" s="64" t="s">
        <v>351</v>
      </c>
    </row>
    <row r="16" customFormat="false" ht="48" hidden="false" customHeight="true" outlineLevel="0" collapsed="false">
      <c r="B16" s="63" t="s">
        <v>352</v>
      </c>
      <c r="C16" s="64" t="s">
        <v>353</v>
      </c>
    </row>
    <row r="18" customFormat="false" ht="24" hidden="false" customHeight="true" outlineLevel="0" collapsed="false">
      <c r="A18" s="68" t="s">
        <v>354</v>
      </c>
      <c r="B18" s="68"/>
      <c r="C18" s="68"/>
    </row>
    <row r="19" customFormat="false" ht="48" hidden="false" customHeight="true" outlineLevel="0" collapsed="false">
      <c r="B19" s="69" t="s">
        <v>355</v>
      </c>
      <c r="C19" s="70" t="s">
        <v>356</v>
      </c>
    </row>
    <row r="20" customFormat="false" ht="48" hidden="false" customHeight="true" outlineLevel="0" collapsed="false">
      <c r="B20" s="69" t="s">
        <v>357</v>
      </c>
      <c r="C20" s="70" t="s">
        <v>358</v>
      </c>
    </row>
    <row r="22" customFormat="false" ht="24" hidden="false" customHeight="true" outlineLevel="0" collapsed="false">
      <c r="A22" s="71" t="s">
        <v>359</v>
      </c>
      <c r="B22" s="71"/>
      <c r="C22" s="71"/>
    </row>
    <row r="23" customFormat="false" ht="48" hidden="false" customHeight="true" outlineLevel="0" collapsed="false">
      <c r="B23" s="63" t="s">
        <v>360</v>
      </c>
      <c r="C23" s="64" t="s">
        <v>361</v>
      </c>
    </row>
    <row r="24" customFormat="false" ht="48" hidden="false" customHeight="true" outlineLevel="0" collapsed="false">
      <c r="B24" s="63" t="s">
        <v>362</v>
      </c>
      <c r="C24" s="64" t="s">
        <v>363</v>
      </c>
    </row>
    <row r="25" customFormat="false" ht="48" hidden="false" customHeight="true" outlineLevel="0" collapsed="false">
      <c r="B25" s="63" t="s">
        <v>364</v>
      </c>
      <c r="C25" s="64" t="s">
        <v>365</v>
      </c>
    </row>
    <row r="26" customFormat="false" ht="48" hidden="false" customHeight="true" outlineLevel="0" collapsed="false">
      <c r="B26" s="63" t="s">
        <v>366</v>
      </c>
      <c r="C26" s="64" t="s">
        <v>367</v>
      </c>
    </row>
    <row r="27" customFormat="false" ht="48" hidden="false" customHeight="true" outlineLevel="0" collapsed="false">
      <c r="B27" s="63" t="s">
        <v>368</v>
      </c>
      <c r="C27" s="64" t="s">
        <v>369</v>
      </c>
    </row>
    <row r="28" customFormat="false" ht="48" hidden="false" customHeight="true" outlineLevel="0" collapsed="false">
      <c r="B28" s="63" t="s">
        <v>370</v>
      </c>
      <c r="C28" s="64" t="s">
        <v>371</v>
      </c>
    </row>
    <row r="30" customFormat="false" ht="24" hidden="false" customHeight="true" outlineLevel="0" collapsed="false">
      <c r="A30" s="72" t="s">
        <v>372</v>
      </c>
      <c r="B30" s="72"/>
      <c r="C30" s="72"/>
    </row>
    <row r="31" customFormat="false" ht="48" hidden="false" customHeight="true" outlineLevel="0" collapsed="false">
      <c r="B31" s="63" t="s">
        <v>373</v>
      </c>
      <c r="C31" s="64" t="s">
        <v>374</v>
      </c>
    </row>
    <row r="32" customFormat="false" ht="48" hidden="false" customHeight="true" outlineLevel="0" collapsed="false">
      <c r="B32" s="63" t="s">
        <v>375</v>
      </c>
      <c r="C32" s="64" t="s">
        <v>376</v>
      </c>
    </row>
    <row r="34" customFormat="false" ht="24" hidden="false" customHeight="true" outlineLevel="0" collapsed="false">
      <c r="A34" s="38" t="s">
        <v>86</v>
      </c>
      <c r="B34" s="38"/>
      <c r="C34" s="38"/>
    </row>
  </sheetData>
  <sheetProtection sheet="true" password="df0a"/>
  <mergeCells count="9">
    <mergeCell ref="A1:C1"/>
    <mergeCell ref="A3:C3"/>
    <mergeCell ref="A5:C5"/>
    <mergeCell ref="A10:C10"/>
    <mergeCell ref="A14:C14"/>
    <mergeCell ref="A18:C18"/>
    <mergeCell ref="A22:C22"/>
    <mergeCell ref="A30:C30"/>
    <mergeCell ref="A34:C3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2026-03-30T19:41:25Z</dcterms:created>
  <dc:creator>openpyxl</dc:creator>
  <dc:description/>
  <dc:language>en-US</dc:language>
  <cp:lastModifiedBy/>
  <dcterms:modified xsi:type="dcterms:W3CDTF">2026-03-30T19:41:25Z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