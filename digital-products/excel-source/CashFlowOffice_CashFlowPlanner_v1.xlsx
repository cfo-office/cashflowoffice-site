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Master Summary" sheetId="1" state="visible" r:id="rId3"/>
    <sheet name="📋 Job 1" sheetId="2" state="visible" r:id="rId4"/>
    <sheet name="📋 Job 2" sheetId="3" state="visible" r:id="rId5"/>
    <sheet name="📋 Job 3" sheetId="4" state="visible" r:id="rId6"/>
    <sheet name="📋 Job 4" sheetId="5" state="visible" r:id="rId7"/>
    <sheet name="📋 Job 5" sheetId="6" state="visible" r:id="rId8"/>
    <sheet name="📋 Instruction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<sst xmlns="http://schemas.openxmlformats.org/spreadsheetml/2006/main" count="458" uniqueCount="166">
  <si>
    <t xml:space="preserve">CASH FLOW OFFICE  |  13-Week Master Cash Flow Summary — All Jobs</t>
  </si>
  <si>
    <t xml:space="preserve">Company:</t>
  </si>
  <si>
    <t xml:space="preserve">Owner / PM:</t>
  </si>
  <si>
    <t xml:space="preserve">Period Start:</t>
  </si>
  <si>
    <t xml:space="preserve">Report Date:</t>
  </si>
  <si>
    <t xml:space="preserve">🔴 Company Red Zone Threshold:</t>
  </si>
  <si>
    <t xml:space="preserve">← Minimum combined cash across all jobs. Set this at the company level — typically higher than any single job threshold.</t>
  </si>
  <si>
    <t xml:space="preserve">JOB / METRIC</t>
  </si>
  <si>
    <t xml:space="preserve">13-WK
TOTAL</t>
  </si>
  <si>
    <t xml:space="preserve">Week 1</t>
  </si>
  <si>
    <t xml:space="preserve">Week 2</t>
  </si>
  <si>
    <t xml:space="preserve">Week 3</t>
  </si>
  <si>
    <t xml:space="preserve">Week 4</t>
  </si>
  <si>
    <t xml:space="preserve">Week 5</t>
  </si>
  <si>
    <t xml:space="preserve">Week 6</t>
  </si>
  <si>
    <t xml:space="preserve">Week 7</t>
  </si>
  <si>
    <t xml:space="preserve">Week 8</t>
  </si>
  <si>
    <t xml:space="preserve">Week 9</t>
  </si>
  <si>
    <t xml:space="preserve">Week 10</t>
  </si>
  <si>
    <t xml:space="preserve">Week 11</t>
  </si>
  <si>
    <t xml:space="preserve">Week 12</t>
  </si>
  <si>
    <t xml:space="preserve">Week 13</t>
  </si>
  <si>
    <t xml:space="preserve">Week Starting Date →</t>
  </si>
  <si>
    <t xml:space="preserve">▼  WEEKLY CASH FLOW BY JOB</t>
  </si>
  <si>
    <t xml:space="preserve">  Job 1</t>
  </si>
  <si>
    <t xml:space="preserve">  Total Inflows</t>
  </si>
  <si>
    <t xml:space="preserve">  Total Outflows</t>
  </si>
  <si>
    <t xml:space="preserve">  Net Cash Flow</t>
  </si>
  <si>
    <t xml:space="preserve">  Ending Cash Balance</t>
  </si>
  <si>
    <t xml:space="preserve">  Job 2</t>
  </si>
  <si>
    <t xml:space="preserve">  Job 3</t>
  </si>
  <si>
    <t xml:space="preserve">  Job 4</t>
  </si>
  <si>
    <t xml:space="preserve">  Job 5</t>
  </si>
  <si>
    <t xml:space="preserve">▼  COMPANY-WIDE TOTALS</t>
  </si>
  <si>
    <t xml:space="preserve">Total Inflows — All Jobs</t>
  </si>
  <si>
    <t xml:space="preserve">Total Outflows — All Jobs</t>
  </si>
  <si>
    <t xml:space="preserve">Net Cash Flow — All Jobs</t>
  </si>
  <si>
    <t xml:space="preserve">Combined Ending Cash Balance</t>
  </si>
  <si>
    <t xml:space="preserve">COMBINED ENDING CASH COLOR GUIDE:  🔴 Red = Below Company Red Zone   🟠 Orange = Within 20% above threshold   🟢 Green = Healthy</t>
  </si>
  <si>
    <t xml:space="preserve">COMPANY CASH HEALTH SNAPSHOT</t>
  </si>
  <si>
    <t xml:space="preserve">Total 13-Week Inflows (All Jobs)</t>
  </si>
  <si>
    <t xml:space="preserve">Total 13-Week Outflows (All Jobs)</t>
  </si>
  <si>
    <t xml:space="preserve">Net Cash Flow — 13 Weeks</t>
  </si>
  <si>
    <t xml:space="preserve">Closing Combined Cash (Week 13)</t>
  </si>
  <si>
    <t xml:space="preserve">Lowest Combined Cash (Any Week)</t>
  </si>
  <si>
    <t xml:space="preserve">Total Weeks Any Job Below Red Zone</t>
  </si>
  <si>
    <t xml:space="preserve">Cash Flow Office  |  cfo@cashflowoffice.com  |  cashflowoffice.com  |  © 2026 Darlene Martin  |  Unprotect password: CFO2026</t>
  </si>
  <si>
    <t xml:space="preserve">CASH FLOW OFFICE  |  13-Week Cash Flow Planner — Job 1</t>
  </si>
  <si>
    <t xml:space="preserve">Job / Project:</t>
  </si>
  <si>
    <t xml:space="preserve">Client:</t>
  </si>
  <si>
    <t xml:space="preserve">Project Manager:</t>
  </si>
  <si>
    <t xml:space="preserve">Opening Cash Balance:</t>
  </si>
  <si>
    <t xml:space="preserve">🔴 Red Zone Threshold:</t>
  </si>
  <si>
    <t xml:space="preserve">← Enter the minimum cash balance you want to maintain at all times. Weeks falling below this trigger a red alert.</t>
  </si>
  <si>
    <t xml:space="preserve">CATEGORY</t>
  </si>
  <si>
    <t xml:space="preserve">NOTES /
ANNUAL</t>
  </si>
  <si>
    <t xml:space="preserve">WEEK 1</t>
  </si>
  <si>
    <t xml:space="preserve">WEEK 2</t>
  </si>
  <si>
    <t xml:space="preserve">WEEK 3</t>
  </si>
  <si>
    <t xml:space="preserve">WEEK 4</t>
  </si>
  <si>
    <t xml:space="preserve">WEEK 5</t>
  </si>
  <si>
    <t xml:space="preserve">WEEK 6</t>
  </si>
  <si>
    <t xml:space="preserve">WEEK 7</t>
  </si>
  <si>
    <t xml:space="preserve">WEEK 8</t>
  </si>
  <si>
    <t xml:space="preserve">WEEK 9</t>
  </si>
  <si>
    <t xml:space="preserve">WEEK 10</t>
  </si>
  <si>
    <t xml:space="preserve">WEEK 11</t>
  </si>
  <si>
    <t xml:space="preserve">WEEK 12</t>
  </si>
  <si>
    <t xml:space="preserve">WEEK 13</t>
  </si>
  <si>
    <t xml:space="preserve">▼  CASH INFLOWS</t>
  </si>
  <si>
    <t xml:space="preserve">Draw Requests / Progress Billings</t>
  </si>
  <si>
    <t xml:space="preserve">Expected draw receipts from owner/GC this week</t>
  </si>
  <si>
    <t xml:space="preserve">Retainage Releases</t>
  </si>
  <si>
    <t xml:space="preserve">Retainage dollars expected to be released/paid this week</t>
  </si>
  <si>
    <t xml:space="preserve">Customer Deposits</t>
  </si>
  <si>
    <t xml:space="preserve">Upfront deposits or milestone deposits from clients</t>
  </si>
  <si>
    <t xml:space="preserve">Other Income</t>
  </si>
  <si>
    <t xml:space="preserve">Any other cash inflows (insurance proceeds, reimbursements, etc.)</t>
  </si>
  <si>
    <t xml:space="preserve">TOTAL INFLOWS</t>
  </si>
  <si>
    <t xml:space="preserve">▼  CASH OUTFLOWS</t>
  </si>
  <si>
    <t xml:space="preserve">Payroll / Labor</t>
  </si>
  <si>
    <t xml:space="preserve">Gross payroll including owner salary if paid through payroll</t>
  </si>
  <si>
    <t xml:space="preserve">Subcontractor Payments</t>
  </si>
  <si>
    <t xml:space="preserve">Payments to subs — note: pay-when-paid clauses may shift timing</t>
  </si>
  <si>
    <t xml:space="preserve">Material Purchases</t>
  </si>
  <si>
    <t xml:space="preserve">Lumber, concrete, MEP materials, finishes, etc.</t>
  </si>
  <si>
    <t xml:space="preserve">Equipment Rental</t>
  </si>
  <si>
    <t xml:space="preserve">Crane, excavator, lift, scaffolding, tool rentals</t>
  </si>
  <si>
    <t xml:space="preserve">Overhead (Rent, Insurance, Utilities, Admin)</t>
  </si>
  <si>
    <t xml:space="preserve">Fixed overhead — same each week. Enter monthly ÷ 4.33 for weekly</t>
  </si>
  <si>
    <t xml:space="preserve">Loan / Line of Credit Payments</t>
  </si>
  <si>
    <t xml:space="preserve">Scheduled debt service or LOC draws/repayments</t>
  </si>
  <si>
    <t xml:space="preserve">Owner Draw / Distributions</t>
  </si>
  <si>
    <t xml:space="preserve">Cash taken out by owner(s) — critical to track for cash planning</t>
  </si>
  <si>
    <t xml:space="preserve">Other Outflows</t>
  </si>
  <si>
    <t xml:space="preserve">Permits, fees, unexpected costs, tax payments, etc.</t>
  </si>
  <si>
    <t xml:space="preserve">TOTAL OUTFLOWS</t>
  </si>
  <si>
    <t xml:space="preserve">NET CASH FLOW</t>
  </si>
  <si>
    <t xml:space="preserve">ENDING CASH BALANCE</t>
  </si>
  <si>
    <t xml:space="preserve">ENDING CASH COLOR GUIDE:  🔴 Red = Below Red Zone threshold (danger)   🟠 Orange = Within 20% above threshold (warning)   🟢 Green = Healthy (≥ 120% of threshold)</t>
  </si>
  <si>
    <t xml:space="preserve">13-WEEK SUMMARY</t>
  </si>
  <si>
    <t xml:space="preserve">Opening Cash Balance</t>
  </si>
  <si>
    <t xml:space="preserve">Total 13-Week Inflows</t>
  </si>
  <si>
    <t xml:space="preserve">Total 13-Week Outflows</t>
  </si>
  <si>
    <t xml:space="preserve">Net Cash Flow (13 Weeks)</t>
  </si>
  <si>
    <t xml:space="preserve">Closing Cash (End of Week 13)</t>
  </si>
  <si>
    <t xml:space="preserve">Lowest Ending Cash (Any Week)</t>
  </si>
  <si>
    <t xml:space="preserve">Highest Ending Cash (Any Week)</t>
  </si>
  <si>
    <t xml:space="preserve">Weeks Below Red Zone Threshold</t>
  </si>
  <si>
    <t xml:space="preserve">Total Draw Requests Expected</t>
  </si>
  <si>
    <t xml:space="preserve">Total Retainage Expected</t>
  </si>
  <si>
    <t xml:space="preserve">Total Payroll (13 Weeks)</t>
  </si>
  <si>
    <t xml:space="preserve">Total Sub Payments (13 Weeks)</t>
  </si>
  <si>
    <t xml:space="preserve">CASH FLOW OFFICE  |  13-Week Cash Flow Planner — Job 2</t>
  </si>
  <si>
    <t xml:space="preserve">CASH FLOW OFFICE  |  13-Week Cash Flow Planner — Job 3</t>
  </si>
  <si>
    <t xml:space="preserve">CASH FLOW OFFICE  |  13-Week Cash Flow Planner — Job 4</t>
  </si>
  <si>
    <t xml:space="preserve">CASH FLOW OFFICE  |  13-Week Cash Flow Planner — Job 5</t>
  </si>
  <si>
    <t xml:space="preserve">CASH FLOW OFFICE  |  13-Week Cash Flow Planner — How to Use This Workbook</t>
  </si>
  <si>
    <t xml:space="preserve">This workbook has 7 tabs: Master Summary + 5 individual Job Cash Flow Planners + Instructions.
Purpose: See exactly what cash is coming in and going out — week by week — for 13 weeks (90 days).
This is a FORWARD-LOOKING decision tool. It answers:
  • Will I have enough cash to make payroll next week?
  • When will my next draw hit, and what do I need to pay before it does?
  • Which weeks are dangerous — and what can I do now to prevent a cash crisis?</t>
  </si>
  <si>
    <t xml:space="preserve">STEP 1 — SET UP EACH JOB TAB FIRST</t>
  </si>
  <si>
    <t xml:space="preserve">Name your Job tabs</t>
  </si>
  <si>
    <t xml:space="preserve">The 5 job tabs are pre-labeled Job 1–5. You can rename them in Excel by right-clicking the tab. Enter the job/project name, client, PM, and report date in the yellow header cells at the top.</t>
  </si>
  <si>
    <t xml:space="preserve">Enter Opening Cash Balance</t>
  </si>
  <si>
    <t xml:space="preserve">Row 3, left side. Enter the current cash balance for this job at the start of Week 1. This seeds the rolling ending cash calculation for all 13 weeks.</t>
  </si>
  <si>
    <t xml:space="preserve">Set your Red Zone Threshold</t>
  </si>
  <si>
    <t xml:space="preserve">Row 3, right side. Enter the minimum cash balance you want to maintain. This is your safety net — below this number, you're in danger. Typical contractors set this at 1–2 weeks of payroll. The ending cash row turns red automatically when you hit it.</t>
  </si>
  <si>
    <t xml:space="preserve">STEP 2 — ENTER WEEK START DATES</t>
  </si>
  <si>
    <t xml:space="preserve">Row 6 — date inputs</t>
  </si>
  <si>
    <t xml:space="preserve">Enter the Monday (or first day) of each week in row 6. These are input cells — enter Week 1's date and the Master Summary tab will pull dates from Job 1 automatically.</t>
  </si>
  <si>
    <t xml:space="preserve">STEP 3 — FILL IN INFLOWS AND OUTFLOWS WEEKLY</t>
  </si>
  <si>
    <t xml:space="preserve">INFLOWS (green section)</t>
  </si>
  <si>
    <t xml:space="preserve">Draw Requests / Progress Billings: Enter the EXPECTED RECEIPT date — not when you submitted the draw. Draws typically take 2–3 weeks from submission to cash in your account. Build in that lag.
Retainage Releases: Only enter when you expect actual payment — not when it's theoretically owed.
Customer Deposits: Upfront or milestone deposits. These are often your best early-week cash source.</t>
  </si>
  <si>
    <t xml:space="preserve">OUTFLOWS (red section)</t>
  </si>
  <si>
    <t xml:space="preserve">Payroll: Enter gross payroll. If bi-weekly, enter the full amount in the week it goes out.
Subcontractor Payments: Note pay-when-paid clauses — subs typically get paid 30-45 days after GC pays you.
Overhead: Fixed weekly amount. Tip: take monthly overhead ÷ 4.33 to get weekly figure.
Owner Draw: Don't skip this — it's one of the most common causes of surprise cash shortages.</t>
  </si>
  <si>
    <t xml:space="preserve">STEP 4 — READ THE SIGNALS</t>
  </si>
  <si>
    <t xml:space="preserve">🔴 Red ending cash week</t>
  </si>
  <si>
    <t xml:space="preserve">You are projected to fall below your safety threshold. Action needed NOW: Can you accelerate a draw request? Delay a material purchase? Push a sub payment one week? This is the whole point of the tool — catching this 4 weeks early.</t>
  </si>
  <si>
    <t xml:space="preserve">🟠 Orange ending cash week</t>
  </si>
  <si>
    <t xml:space="preserve">Warning zone — within 20% above your threshold. Not a crisis yet but watch it closely. Review what's scheduled that week and the week after.</t>
  </si>
  <si>
    <t xml:space="preserve">🟢 Green ending cash week</t>
  </si>
  <si>
    <t xml:space="preserve">Healthy — above 120% of your threshold. No immediate action needed.</t>
  </si>
  <si>
    <t xml:space="preserve">STEP 5 — USE THE MASTER SUMMARY TAB</t>
  </si>
  <si>
    <t xml:space="preserve">📊 Master Summary tab</t>
  </si>
  <si>
    <t xml:space="preserve">Automatically consolidates all 5 job tabs. Shows inflows, outflows, net cash flow, and ending cash for each job side by side, week by week. Also shows company-wide combined ending cash with its own red zone threshold (set separately — typically higher than any single job threshold).</t>
  </si>
  <si>
    <t xml:space="preserve">Company Red Zone vs Job Red Zone</t>
  </si>
  <si>
    <t xml:space="preserve">Each job tab has its own threshold (what's safe for that job). The Master Summary has a separate company-level threshold (what's safe for the whole business). You might be fine on individual jobs but still be dangerously low company-wide — or vice versa. Check both.</t>
  </si>
  <si>
    <t xml:space="preserve">CONSTRUCTION-SPECIFIC TIPS</t>
  </si>
  <si>
    <t xml:space="preserve">Draw request lag</t>
  </si>
  <si>
    <t xml:space="preserve">The most common mistake: entering a draw in the week you SUBMIT it, not the week you RECEIVE it. In construction, draws take 14–21 days from submission to bank deposit. Always enter draws in the week the cash is expected to actually land.</t>
  </si>
  <si>
    <t xml:space="preserve">Pay-when-paid (subs)</t>
  </si>
  <si>
    <t xml:space="preserve">If your sub contracts include pay-when-paid clauses, your sub payment outflow shouldn't happen until AFTER you've received the corresponding draw. Model this correctly or your cash plan will show sub payments going out before inflows arrive — creating a false crisis on paper.</t>
  </si>
  <si>
    <t xml:space="preserve">Retainage timing</t>
  </si>
  <si>
    <t xml:space="preserve">Retainage is rarely released on time. If the contract says 30 days after substantial completion, budget 60–90 days in your planner. Conservative retainage timing is always safer than optimistic.</t>
  </si>
  <si>
    <t xml:space="preserve">COLOR &amp; PROTECTION GUIDE</t>
  </si>
  <si>
    <t xml:space="preserve">🟡 Yellow cells</t>
  </si>
  <si>
    <t xml:space="preserve">Input cells — enter your data here. Always unlocked.</t>
  </si>
  <si>
    <t xml:space="preserve">🔵 Blue cells</t>
  </si>
  <si>
    <t xml:space="preserve">Formula cells — auto-calculated. Locked. Do not overwrite.</t>
  </si>
  <si>
    <t xml:space="preserve">🔴 Red zone</t>
  </si>
  <si>
    <t xml:space="preserve">Ending cash below your threshold — cash danger, action required.</t>
  </si>
  <si>
    <t xml:space="preserve">🟠 Orange zone</t>
  </si>
  <si>
    <t xml:space="preserve">Ending cash in warning range — monitor closely.</t>
  </si>
  <si>
    <t xml:space="preserve">🟢 Green zone</t>
  </si>
  <si>
    <t xml:space="preserve">Ending cash healthy — above 120% of threshold.</t>
  </si>
  <si>
    <t xml:space="preserve">Unprotect</t>
  </si>
  <si>
    <t xml:space="preserve">Review → Unprotect Sheet → Password: CFO2026</t>
  </si>
</sst>
</file>

<file path=xl/styles.xml><?xml version="1.0" encoding="utf-8"?>
<styleSheet xmlns="http://schemas.openxmlformats.org/spreadsheetml/2006/main">
  <numFmts count="4">
    <numFmt numFmtId="164" formatCode="General"/>
    <numFmt numFmtId="165" formatCode="\$#,##0;&quot;($&quot;#,##0\);\-"/>
    <numFmt numFmtId="166" formatCode="mmm\ dd"/>
    <numFmt numFmtId="167" formatCode="0;\(0\);\-"/>
  </numFmts>
  <fonts count="2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b val="true"/>
      <sz val="10"/>
      <name val="Arial"/>
      <family val="0"/>
      <charset val="1"/>
    </font>
    <font>
      <b val="true"/>
      <sz val="10"/>
      <color rgb="FFC0392B"/>
      <name val="Arial"/>
      <family val="0"/>
      <charset val="1"/>
    </font>
    <font>
      <i val="true"/>
      <sz val="9"/>
      <color rgb="FFE74C3C"/>
      <name val="Arial"/>
      <family val="0"/>
      <charset val="1"/>
    </font>
    <font>
      <b val="true"/>
      <sz val="9"/>
      <color rgb="FFFFFFFF"/>
      <name val="Arial"/>
      <family val="0"/>
      <charset val="1"/>
    </font>
    <font>
      <b val="true"/>
      <sz val="9"/>
      <color rgb="FF1F2D3D"/>
      <name val="Arial"/>
      <family val="0"/>
      <charset val="1"/>
    </font>
    <font>
      <b val="true"/>
      <sz val="9"/>
      <name val="Arial"/>
      <family val="0"/>
      <charset val="1"/>
    </font>
    <font>
      <sz val="10"/>
      <name val="Arial"/>
      <family val="0"/>
      <charset val="1"/>
    </font>
    <font>
      <b val="true"/>
      <sz val="10"/>
      <color rgb="FF000000"/>
      <name val="Arial"/>
      <family val="0"/>
      <charset val="1"/>
    </font>
    <font>
      <sz val="10"/>
      <color rgb="FF1A6B3C"/>
      <name val="Arial"/>
      <family val="0"/>
      <charset val="1"/>
    </font>
    <font>
      <sz val="10"/>
      <color rgb="FFC0392B"/>
      <name val="Arial"/>
      <family val="0"/>
      <charset val="1"/>
    </font>
    <font>
      <sz val="10"/>
      <color rgb="FF000000"/>
      <name val="Arial"/>
      <family val="0"/>
      <charset val="1"/>
    </font>
    <font>
      <sz val="10"/>
      <color rgb="FFFFFFFF"/>
      <name val="Arial"/>
      <family val="0"/>
      <charset val="1"/>
    </font>
    <font>
      <i val="true"/>
      <sz val="9"/>
      <color rgb="FF566573"/>
      <name val="Arial"/>
      <family val="0"/>
      <charset val="1"/>
    </font>
    <font>
      <i val="true"/>
      <sz val="9"/>
      <color rgb="FFFFFFFF"/>
      <name val="Arial"/>
      <family val="0"/>
      <charset val="1"/>
    </font>
    <font>
      <i val="true"/>
      <sz val="8"/>
      <color rgb="FF566573"/>
      <name val="Arial"/>
      <family val="0"/>
      <charset val="1"/>
    </font>
    <font>
      <i val="true"/>
      <sz val="11"/>
      <color rgb="FF1F2D3D"/>
      <name val="Arial"/>
      <family val="0"/>
      <charset val="1"/>
    </font>
    <font>
      <b val="true"/>
      <sz val="11"/>
      <color rgb="FFFFFFFF"/>
      <name val="Arial"/>
      <family val="0"/>
      <charset val="1"/>
    </font>
    <font>
      <b val="true"/>
      <sz val="10"/>
      <color rgb="FF1F2D3D"/>
      <name val="Arial"/>
      <family val="0"/>
      <charset val="1"/>
    </font>
  </fonts>
  <fills count="13">
    <fill>
      <patternFill patternType="none"/>
    </fill>
    <fill>
      <patternFill patternType="gray125"/>
    </fill>
    <fill>
      <patternFill patternType="solid">
        <fgColor rgb="FF1F2D3D"/>
        <bgColor rgb="FF003366"/>
      </patternFill>
    </fill>
    <fill>
      <patternFill patternType="solid">
        <fgColor rgb="FF2E5F8A"/>
        <bgColor rgb="FF566573"/>
      </patternFill>
    </fill>
    <fill>
      <patternFill patternType="solid">
        <fgColor rgb="FFFFF9C4"/>
        <bgColor rgb="FFFDEBD0"/>
      </patternFill>
    </fill>
    <fill>
      <patternFill patternType="solid">
        <fgColor rgb="FFFADBD8"/>
        <bgColor rgb="FFFDEBD0"/>
      </patternFill>
    </fill>
    <fill>
      <patternFill patternType="solid">
        <fgColor rgb="FF566573"/>
        <bgColor rgb="FF2E5F8A"/>
      </patternFill>
    </fill>
    <fill>
      <patternFill patternType="solid">
        <fgColor rgb="FFD6E4F0"/>
        <bgColor rgb="FFD5F5E3"/>
      </patternFill>
    </fill>
    <fill>
      <patternFill patternType="solid">
        <fgColor rgb="FFD5F5E3"/>
        <bgColor rgb="FFCCFFFF"/>
      </patternFill>
    </fill>
    <fill>
      <patternFill patternType="solid">
        <fgColor rgb="FF1A6B3C"/>
        <bgColor rgb="FF2E5F8A"/>
      </patternFill>
    </fill>
    <fill>
      <patternFill patternType="solid">
        <fgColor rgb="FFE74C3C"/>
        <bgColor rgb="FFC0392B"/>
      </patternFill>
    </fill>
    <fill>
      <patternFill patternType="solid">
        <fgColor rgb="FFF2F3F4"/>
        <bgColor rgb="FFFFFFFF"/>
      </patternFill>
    </fill>
    <fill>
      <patternFill patternType="solid">
        <fgColor rgb="FFFFFFFF"/>
        <bgColor rgb="FFF2F3F4"/>
      </patternFill>
    </fill>
  </fills>
  <borders count="3">
    <border diagonalUp="false" diagonalDown="false">
      <left/>
      <right/>
      <top/>
      <bottom/>
      <diagonal/>
    </border>
    <border diagonalUp="false" diagonalDown="false">
      <left style="thin">
        <color rgb="FFBFC9CA"/>
      </left>
      <right/>
      <top style="thin">
        <color rgb="FFBFC9CA"/>
      </top>
      <bottom style="thin">
        <color rgb="FFBFC9CA"/>
      </bottom>
      <diagonal/>
    </border>
    <border diagonalUp="false" diagonalDown="false">
      <left style="thin">
        <color rgb="FFBFC9CA"/>
      </left>
      <right style="thin">
        <color rgb="FFBFC9CA"/>
      </right>
      <top style="thin">
        <color rgb="FFBFC9CA"/>
      </top>
      <bottom style="thin">
        <color rgb="FFBFC9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right" vertical="center" textRotation="0" wrapText="false" indent="0" shrinkToFit="false"/>
      <protection locked="true" hidden="false"/>
    </xf>
    <xf numFmtId="164" fontId="6" fillId="4" borderId="2" xfId="0" applyFont="true" applyBorder="true" applyAlignment="false" applyProtection="true">
      <alignment horizontal="general" vertical="bottom" textRotation="0" wrapText="false" indent="0" shrinkToFit="false"/>
      <protection locked="false" hidden="false"/>
    </xf>
    <xf numFmtId="164" fontId="7" fillId="5" borderId="2" xfId="0" applyFont="true" applyBorder="true" applyAlignment="true" applyProtection="false">
      <alignment horizontal="right" vertical="center" textRotation="0" wrapText="false" indent="0" shrinkToFit="false"/>
      <protection locked="true" hidden="false"/>
    </xf>
    <xf numFmtId="165" fontId="6" fillId="4" borderId="2" xfId="0" applyFont="true" applyBorder="true" applyAlignment="true" applyProtection="true">
      <alignment horizontal="right" vertical="center" textRotation="0" wrapText="false" indent="0" shrinkToFit="false"/>
      <protection locked="fals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right" vertical="center"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6" fontId="11" fillId="7" borderId="2"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1" shrinkToFit="false"/>
      <protection locked="true" hidden="false"/>
    </xf>
    <xf numFmtId="164" fontId="5" fillId="2" borderId="1" xfId="0" applyFont="true" applyBorder="true" applyAlignment="true" applyProtection="false">
      <alignment horizontal="left" vertical="center" textRotation="0" wrapText="false" indent="1" shrinkToFit="false"/>
      <protection locked="true" hidden="false"/>
    </xf>
    <xf numFmtId="164" fontId="12" fillId="8" borderId="1" xfId="0" applyFont="true" applyBorder="true" applyAlignment="true" applyProtection="false">
      <alignment horizontal="left" vertical="center" textRotation="0" wrapText="false" indent="2" shrinkToFit="false"/>
      <protection locked="true" hidden="false"/>
    </xf>
    <xf numFmtId="165" fontId="13" fillId="8" borderId="2" xfId="0" applyFont="true" applyBorder="true" applyAlignment="true" applyProtection="false">
      <alignment horizontal="right" vertical="center" textRotation="0" wrapText="false" indent="0" shrinkToFit="false"/>
      <protection locked="true" hidden="false"/>
    </xf>
    <xf numFmtId="165" fontId="14" fillId="8" borderId="2" xfId="0" applyFont="true" applyBorder="true" applyAlignment="true" applyProtection="false">
      <alignment horizontal="right"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2" shrinkToFit="false"/>
      <protection locked="true" hidden="false"/>
    </xf>
    <xf numFmtId="165" fontId="13" fillId="5" borderId="2" xfId="0" applyFont="true" applyBorder="true" applyAlignment="true" applyProtection="false">
      <alignment horizontal="right" vertical="center" textRotation="0" wrapText="false" indent="0" shrinkToFit="false"/>
      <protection locked="true" hidden="false"/>
    </xf>
    <xf numFmtId="165" fontId="15" fillId="5" borderId="2"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false" indent="2" shrinkToFit="false"/>
      <protection locked="true" hidden="false"/>
    </xf>
    <xf numFmtId="165" fontId="13" fillId="7" borderId="2" xfId="0" applyFont="true" applyBorder="true" applyAlignment="true" applyProtection="false">
      <alignment horizontal="right" vertical="center" textRotation="0" wrapText="false" indent="0" shrinkToFit="false"/>
      <protection locked="true" hidden="false"/>
    </xf>
    <xf numFmtId="165" fontId="16" fillId="7" borderId="2" xfId="0" applyFont="true" applyBorder="true" applyAlignment="true" applyProtection="false">
      <alignment horizontal="right"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2" shrinkToFit="false"/>
      <protection locked="true" hidden="false"/>
    </xf>
    <xf numFmtId="165" fontId="5" fillId="3" borderId="2" xfId="0" applyFont="true" applyBorder="true" applyAlignment="true" applyProtection="false">
      <alignment horizontal="right" vertical="center" textRotation="0" wrapText="false" indent="0" shrinkToFit="false"/>
      <protection locked="true" hidden="false"/>
    </xf>
    <xf numFmtId="165" fontId="17" fillId="2" borderId="2" xfId="0" applyFont="true" applyBorder="true" applyAlignment="true" applyProtection="false">
      <alignment horizontal="right" vertical="center" textRotation="0" wrapText="false" indent="0" shrinkToFit="false"/>
      <protection locked="true" hidden="false"/>
    </xf>
    <xf numFmtId="164" fontId="5" fillId="9" borderId="1" xfId="0" applyFont="true" applyBorder="true" applyAlignment="true" applyProtection="false">
      <alignment horizontal="left" vertical="center" textRotation="0" wrapText="false" indent="1" shrinkToFit="false"/>
      <protection locked="true" hidden="false"/>
    </xf>
    <xf numFmtId="165" fontId="5" fillId="9" borderId="2" xfId="0" applyFont="true" applyBorder="true" applyAlignment="true" applyProtection="false">
      <alignment horizontal="right" vertical="center" textRotation="0" wrapText="false" indent="0" shrinkToFit="false"/>
      <protection locked="true" hidden="false"/>
    </xf>
    <xf numFmtId="164" fontId="5" fillId="10" borderId="1" xfId="0" applyFont="true" applyBorder="true" applyAlignment="true" applyProtection="false">
      <alignment horizontal="left" vertical="center" textRotation="0" wrapText="false" indent="1" shrinkToFit="false"/>
      <protection locked="true" hidden="false"/>
    </xf>
    <xf numFmtId="165" fontId="5" fillId="10" borderId="2" xfId="0" applyFont="true" applyBorder="true" applyAlignment="true" applyProtection="false">
      <alignment horizontal="right" vertical="center" textRotation="0" wrapText="false" indent="0" shrinkToFit="false"/>
      <protection locked="true" hidden="false"/>
    </xf>
    <xf numFmtId="165" fontId="5" fillId="2" borderId="2" xfId="0" applyFont="true" applyBorder="true" applyAlignment="true" applyProtection="false">
      <alignment horizontal="right" vertical="center" textRotation="0" wrapText="false" indent="0" shrinkToFit="false"/>
      <protection locked="true" hidden="false"/>
    </xf>
    <xf numFmtId="164" fontId="18" fillId="11" borderId="1" xfId="0" applyFont="true" applyBorder="true" applyAlignment="true" applyProtection="false">
      <alignment horizontal="center" vertical="center" textRotation="0" wrapText="false" indent="0" shrinkToFit="false"/>
      <protection locked="true" hidden="false"/>
    </xf>
    <xf numFmtId="164" fontId="6" fillId="11" borderId="2" xfId="0" applyFont="true" applyBorder="true" applyAlignment="true" applyProtection="false">
      <alignment horizontal="left" vertical="center" textRotation="0" wrapText="false" indent="2" shrinkToFit="false"/>
      <protection locked="true" hidden="false"/>
    </xf>
    <xf numFmtId="165" fontId="6" fillId="7" borderId="2" xfId="0" applyFont="true" applyBorder="true" applyAlignment="true" applyProtection="false">
      <alignment horizontal="right" vertical="center" textRotation="0" wrapText="false" indent="0" shrinkToFit="false"/>
      <protection locked="true" hidden="false"/>
    </xf>
    <xf numFmtId="164" fontId="6" fillId="12" borderId="2" xfId="0" applyFont="true" applyBorder="true" applyAlignment="true" applyProtection="false">
      <alignment horizontal="left" vertical="center" textRotation="0" wrapText="false" indent="2" shrinkToFit="false"/>
      <protection locked="true" hidden="false"/>
    </xf>
    <xf numFmtId="167" fontId="6" fillId="7" borderId="2" xfId="0" applyFont="true" applyBorder="true" applyAlignment="true" applyProtection="false">
      <alignment horizontal="right" vertical="center" textRotation="0" wrapText="false" indent="0" shrinkToFit="false"/>
      <protection locked="true" hidden="false"/>
    </xf>
    <xf numFmtId="164" fontId="19" fillId="2" borderId="1"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right" vertical="center" textRotation="0" wrapText="false" indent="0" shrinkToFit="false"/>
      <protection locked="true" hidden="false"/>
    </xf>
    <xf numFmtId="164" fontId="0" fillId="11" borderId="2" xfId="0" applyFont="false" applyBorder="true" applyAlignment="false" applyProtection="false">
      <alignment horizontal="general" vertical="bottom" textRotation="0" wrapText="false" indent="0" shrinkToFit="false"/>
      <protection locked="true" hidden="false"/>
    </xf>
    <xf numFmtId="166" fontId="11" fillId="4" borderId="2" xfId="0" applyFont="true" applyBorder="true" applyAlignment="true" applyProtection="true">
      <alignment horizontal="center" vertical="center" textRotation="0" wrapText="false" indent="0" shrinkToFit="false"/>
      <protection locked="false" hidden="false"/>
    </xf>
    <xf numFmtId="164" fontId="12" fillId="12" borderId="1" xfId="0" applyFont="true" applyBorder="true" applyAlignment="true" applyProtection="false">
      <alignment horizontal="left" vertical="center" textRotation="0" wrapText="false" indent="2" shrinkToFit="false"/>
      <protection locked="true" hidden="false"/>
    </xf>
    <xf numFmtId="164" fontId="20" fillId="11" borderId="2" xfId="0" applyFont="true" applyBorder="true" applyAlignment="true" applyProtection="false">
      <alignment horizontal="left" vertical="center" textRotation="0" wrapText="true" indent="1" shrinkToFit="false"/>
      <protection locked="true" hidden="false"/>
    </xf>
    <xf numFmtId="165" fontId="0" fillId="12" borderId="2" xfId="0" applyFont="false" applyBorder="true" applyAlignment="true" applyProtection="true">
      <alignment horizontal="right" vertical="center" textRotation="0" wrapText="false" indent="0" shrinkToFit="false"/>
      <protection locked="false" hidden="false"/>
    </xf>
    <xf numFmtId="164" fontId="12" fillId="11" borderId="1" xfId="0" applyFont="true" applyBorder="true" applyAlignment="true" applyProtection="false">
      <alignment horizontal="left" vertical="center" textRotation="0" wrapText="false" indent="2" shrinkToFit="false"/>
      <protection locked="true" hidden="false"/>
    </xf>
    <xf numFmtId="165" fontId="0" fillId="11" borderId="2" xfId="0" applyFont="false" applyBorder="true" applyAlignment="true" applyProtection="true">
      <alignment horizontal="right" vertical="center" textRotation="0" wrapText="false" indent="0" shrinkToFit="false"/>
      <protection locked="false" hidden="false"/>
    </xf>
    <xf numFmtId="164" fontId="0" fillId="9" borderId="2" xfId="0" applyFont="false" applyBorder="true" applyAlignment="false" applyProtection="false">
      <alignment horizontal="general" vertical="bottom" textRotation="0" wrapText="false" indent="0" shrinkToFit="false"/>
      <protection locked="true" hidden="false"/>
    </xf>
    <xf numFmtId="165" fontId="0" fillId="5" borderId="2" xfId="0" applyFont="false" applyBorder="true" applyAlignment="true" applyProtection="true">
      <alignment horizontal="right" vertical="center" textRotation="0" wrapText="false" indent="0" shrinkToFit="false"/>
      <protection locked="false" hidden="false"/>
    </xf>
    <xf numFmtId="164" fontId="0" fillId="10" borderId="2" xfId="0" applyFont="fals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21" fillId="7" borderId="1" xfId="0" applyFont="true" applyBorder="true" applyAlignment="true" applyProtection="false">
      <alignment horizontal="left" vertical="center" textRotation="0" wrapText="true" indent="1" shrinkToFit="false"/>
      <protection locked="true" hidden="false"/>
    </xf>
    <xf numFmtId="164" fontId="22" fillId="3" borderId="1" xfId="0" applyFont="true" applyBorder="true" applyAlignment="true" applyProtection="false">
      <alignment horizontal="left" vertical="center" textRotation="0" wrapText="false" indent="1" shrinkToFit="false"/>
      <protection locked="true" hidden="false"/>
    </xf>
    <xf numFmtId="164" fontId="23" fillId="12" borderId="2" xfId="0" applyFont="true" applyBorder="true" applyAlignment="true" applyProtection="false">
      <alignment horizontal="left" vertical="top" textRotation="0" wrapText="true" indent="0" shrinkToFit="false"/>
      <protection locked="true" hidden="false"/>
    </xf>
    <xf numFmtId="164" fontId="12" fillId="12" borderId="2" xfId="0" applyFont="true" applyBorder="true" applyAlignment="true" applyProtection="false">
      <alignment horizontal="left" vertical="top" textRotation="0" wrapText="true" indent="0" shrinkToFit="false"/>
      <protection locked="true" hidden="false"/>
    </xf>
    <xf numFmtId="164" fontId="22" fillId="6" borderId="1" xfId="0" applyFont="true" applyBorder="true" applyAlignment="true" applyProtection="false">
      <alignment horizontal="left" vertical="center" textRotation="0" wrapText="false" indent="1" shrinkToFit="false"/>
      <protection locked="true" hidden="false"/>
    </xf>
    <xf numFmtId="164" fontId="22" fillId="9" borderId="1" xfId="0" applyFont="true" applyBorder="true" applyAlignment="true" applyProtection="false">
      <alignment horizontal="left" vertical="center" textRotation="0" wrapText="false" indent="1" shrinkToFit="false"/>
      <protection locked="true" hidden="false"/>
    </xf>
    <xf numFmtId="164" fontId="22" fillId="2" borderId="1" xfId="0" applyFont="true" applyBorder="true" applyAlignment="true" applyProtection="fals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C0392B"/>
        <sz val="10"/>
      </font>
      <fill>
        <patternFill>
          <bgColor rgb="FFFADBD8"/>
        </patternFill>
      </fill>
    </dxf>
    <dxf>
      <font>
        <name val="Arial"/>
        <charset val="1"/>
        <family val="0"/>
        <b val="1"/>
        <color rgb="FF1A6B3C"/>
        <sz val="10"/>
      </font>
      <fill>
        <patternFill>
          <bgColor rgb="FFD5F5E3"/>
        </patternFill>
      </fill>
    </dxf>
    <dxf>
      <font>
        <name val="Arial"/>
        <charset val="1"/>
        <family val="0"/>
        <b val="1"/>
        <color rgb="FFE67E22"/>
        <sz val="10"/>
      </font>
      <fill>
        <patternFill>
          <bgColor rgb="FFFDEBD0"/>
        </patternFill>
      </fill>
    </dxf>
  </dxfs>
  <colors>
    <indexedColors>
      <rgbColor rgb="FF000000"/>
      <rgbColor rgb="FFFFFFFF"/>
      <rgbColor rgb="FFFF0000"/>
      <rgbColor rgb="FF00FF00"/>
      <rgbColor rgb="FF0000FF"/>
      <rgbColor rgb="FFFFFF00"/>
      <rgbColor rgb="FFFF00FF"/>
      <rgbColor rgb="FF00FFFF"/>
      <rgbColor rgb="FF800000"/>
      <rgbColor rgb="FF1A6B3C"/>
      <rgbColor rgb="FF000080"/>
      <rgbColor rgb="FF808000"/>
      <rgbColor rgb="FF800080"/>
      <rgbColor rgb="FF008080"/>
      <rgbColor rgb="FFBFC9CA"/>
      <rgbColor rgb="FF808080"/>
      <rgbColor rgb="FF9999FF"/>
      <rgbColor rgb="FF993366"/>
      <rgbColor rgb="FFFFF9C4"/>
      <rgbColor rgb="FFF2F3F4"/>
      <rgbColor rgb="FF660066"/>
      <rgbColor rgb="FFE74C3C"/>
      <rgbColor rgb="FF2E5F8A"/>
      <rgbColor rgb="FFD6E4F0"/>
      <rgbColor rgb="FF000080"/>
      <rgbColor rgb="FFFF00FF"/>
      <rgbColor rgb="FFFFFF00"/>
      <rgbColor rgb="FF00FFFF"/>
      <rgbColor rgb="FF800080"/>
      <rgbColor rgb="FF800000"/>
      <rgbColor rgb="FF008080"/>
      <rgbColor rgb="FF0000FF"/>
      <rgbColor rgb="FF00CCFF"/>
      <rgbColor rgb="FFCCFFFF"/>
      <rgbColor rgb="FFD5F5E3"/>
      <rgbColor rgb="FFFDEBD0"/>
      <rgbColor rgb="FF99CCFF"/>
      <rgbColor rgb="FFFF99CC"/>
      <rgbColor rgb="FFCC99FF"/>
      <rgbColor rgb="FFFADBD8"/>
      <rgbColor rgb="FF3366FF"/>
      <rgbColor rgb="FF33CCCC"/>
      <rgbColor rgb="FF99CC00"/>
      <rgbColor rgb="FFFFCC00"/>
      <rgbColor rgb="FFFF9900"/>
      <rgbColor rgb="FFE67E22"/>
      <rgbColor rgb="FF566573"/>
      <rgbColor rgb="FF969696"/>
      <rgbColor rgb="FF003366"/>
      <rgbColor rgb="FF339966"/>
      <rgbColor rgb="FF003300"/>
      <rgbColor rgb="FF333300"/>
      <rgbColor rgb="FFC0392B"/>
      <rgbColor rgb="FF993366"/>
      <rgbColor rgb="FF333399"/>
      <rgbColor rgb="FF1F2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
    <col collapsed="false" customWidth="true" hidden="false" outlineLevel="0" max="3" min="3" style="0" width="14"/>
    <col collapsed="false" customWidth="true" hidden="false" outlineLevel="0" max="16" min="4" style="0" width="13"/>
  </cols>
  <sheetData>
    <row r="1" customFormat="false" ht="36" hidden="false" customHeight="true" outlineLevel="0" collapsed="false">
      <c r="A1" s="1" t="s">
        <v>0</v>
      </c>
      <c r="B1" s="1"/>
      <c r="C1" s="1"/>
      <c r="D1" s="1"/>
      <c r="E1" s="1"/>
      <c r="F1" s="1"/>
      <c r="G1" s="1"/>
      <c r="H1" s="1"/>
      <c r="I1" s="1"/>
      <c r="J1" s="1"/>
      <c r="K1" s="1"/>
      <c r="L1" s="1"/>
      <c r="M1" s="1"/>
      <c r="N1" s="1"/>
      <c r="O1" s="1"/>
      <c r="P1" s="1"/>
    </row>
    <row r="2" customFormat="false" ht="19.5" hidden="false" customHeight="true" outlineLevel="0" collapsed="false">
      <c r="A2" s="2" t="s">
        <v>1</v>
      </c>
      <c r="B2" s="3"/>
      <c r="D2" s="2" t="s">
        <v>2</v>
      </c>
      <c r="E2" s="3"/>
      <c r="G2" s="2" t="s">
        <v>3</v>
      </c>
      <c r="H2" s="3"/>
      <c r="J2" s="2" t="s">
        <v>4</v>
      </c>
      <c r="K2" s="3"/>
    </row>
    <row r="3" customFormat="false" ht="21.75" hidden="false" customHeight="true" outlineLevel="0" collapsed="false">
      <c r="A3" s="4" t="s">
        <v>5</v>
      </c>
      <c r="B3" s="5" t="n">
        <v>10000</v>
      </c>
      <c r="C3" s="6" t="s">
        <v>6</v>
      </c>
      <c r="D3" s="6"/>
      <c r="E3" s="6"/>
      <c r="F3" s="6"/>
      <c r="G3" s="6"/>
      <c r="H3" s="6"/>
      <c r="I3" s="6"/>
      <c r="J3" s="6"/>
      <c r="K3" s="6"/>
      <c r="L3" s="6"/>
      <c r="M3" s="6"/>
      <c r="N3" s="6"/>
      <c r="O3" s="6"/>
      <c r="P3" s="6"/>
    </row>
    <row r="5" customFormat="false" ht="18" hidden="false" customHeight="true" outlineLevel="0" collapsed="false">
      <c r="A5" s="7" t="s">
        <v>7</v>
      </c>
      <c r="B5" s="7"/>
      <c r="C5" s="8" t="s">
        <v>8</v>
      </c>
      <c r="D5" s="9" t="s">
        <v>9</v>
      </c>
      <c r="E5" s="9" t="s">
        <v>10</v>
      </c>
      <c r="F5" s="9" t="s">
        <v>11</v>
      </c>
      <c r="G5" s="9" t="s">
        <v>12</v>
      </c>
      <c r="H5" s="9" t="s">
        <v>13</v>
      </c>
      <c r="I5" s="9" t="s">
        <v>14</v>
      </c>
      <c r="J5" s="9" t="s">
        <v>15</v>
      </c>
      <c r="K5" s="9" t="s">
        <v>16</v>
      </c>
      <c r="L5" s="9" t="s">
        <v>17</v>
      </c>
      <c r="M5" s="9" t="s">
        <v>18</v>
      </c>
      <c r="N5" s="9" t="s">
        <v>19</v>
      </c>
      <c r="O5" s="9" t="s">
        <v>20</v>
      </c>
      <c r="P5" s="9" t="s">
        <v>21</v>
      </c>
    </row>
    <row r="6" customFormat="false" ht="18" hidden="false" customHeight="true" outlineLevel="0" collapsed="false">
      <c r="A6" s="10" t="s">
        <v>22</v>
      </c>
      <c r="B6" s="10"/>
      <c r="C6" s="11"/>
      <c r="D6" s="12" t="n">
        <f aca="false">'📋 Job 1'!D6</f>
        <v>0</v>
      </c>
      <c r="E6" s="12" t="n">
        <f aca="false">'📋 Job 1'!E6</f>
        <v>0</v>
      </c>
      <c r="F6" s="12" t="n">
        <f aca="false">'📋 Job 1'!F6</f>
        <v>0</v>
      </c>
      <c r="G6" s="12" t="n">
        <f aca="false">'📋 Job 1'!G6</f>
        <v>0</v>
      </c>
      <c r="H6" s="12" t="n">
        <f aca="false">'📋 Job 1'!H6</f>
        <v>0</v>
      </c>
      <c r="I6" s="12" t="n">
        <f aca="false">'📋 Job 1'!I6</f>
        <v>0</v>
      </c>
      <c r="J6" s="12" t="n">
        <f aca="false">'📋 Job 1'!J6</f>
        <v>0</v>
      </c>
      <c r="K6" s="12" t="n">
        <f aca="false">'📋 Job 1'!K6</f>
        <v>0</v>
      </c>
      <c r="L6" s="12" t="n">
        <f aca="false">'📋 Job 1'!L6</f>
        <v>0</v>
      </c>
      <c r="M6" s="12" t="n">
        <f aca="false">'📋 Job 1'!M6</f>
        <v>0</v>
      </c>
      <c r="N6" s="12" t="n">
        <f aca="false">'📋 Job 1'!N6</f>
        <v>0</v>
      </c>
      <c r="O6" s="12" t="n">
        <f aca="false">'📋 Job 1'!O6</f>
        <v>0</v>
      </c>
      <c r="P6" s="12" t="n">
        <f aca="false">'📋 Job 1'!P6</f>
        <v>0</v>
      </c>
    </row>
    <row r="8" customFormat="false" ht="19.5" hidden="false" customHeight="true" outlineLevel="0" collapsed="false">
      <c r="A8" s="13" t="s">
        <v>23</v>
      </c>
      <c r="B8" s="13"/>
      <c r="C8" s="13"/>
      <c r="D8" s="13"/>
      <c r="E8" s="13"/>
      <c r="F8" s="13"/>
      <c r="G8" s="13"/>
      <c r="H8" s="13"/>
      <c r="I8" s="13"/>
      <c r="J8" s="13"/>
      <c r="K8" s="13"/>
      <c r="L8" s="13"/>
      <c r="M8" s="13"/>
      <c r="N8" s="13"/>
      <c r="O8" s="13"/>
      <c r="P8" s="13"/>
    </row>
    <row r="9" customFormat="false" ht="18" hidden="false" customHeight="true" outlineLevel="0" collapsed="false">
      <c r="A9" s="14" t="s">
        <v>24</v>
      </c>
      <c r="B9" s="14"/>
      <c r="C9" s="14"/>
      <c r="D9" s="14"/>
      <c r="E9" s="14"/>
      <c r="F9" s="14"/>
      <c r="G9" s="14"/>
      <c r="H9" s="14"/>
      <c r="I9" s="14"/>
      <c r="J9" s="14"/>
      <c r="K9" s="14"/>
      <c r="L9" s="14"/>
      <c r="M9" s="14"/>
      <c r="N9" s="14"/>
      <c r="O9" s="14"/>
      <c r="P9" s="14"/>
    </row>
    <row r="10" customFormat="false" ht="18" hidden="false" customHeight="true" outlineLevel="0" collapsed="false">
      <c r="A10" s="15" t="s">
        <v>25</v>
      </c>
      <c r="B10" s="15"/>
      <c r="C10" s="16" t="n">
        <f aca="false">SUM('📋 Job 1'!D13:P13)</f>
        <v>0</v>
      </c>
      <c r="D10" s="17" t="n">
        <f aca="false">'📋 Job 1'!D13</f>
        <v>0</v>
      </c>
      <c r="E10" s="17" t="n">
        <f aca="false">'📋 Job 1'!E13</f>
        <v>0</v>
      </c>
      <c r="F10" s="17" t="n">
        <f aca="false">'📋 Job 1'!F13</f>
        <v>0</v>
      </c>
      <c r="G10" s="17" t="n">
        <f aca="false">'📋 Job 1'!G13</f>
        <v>0</v>
      </c>
      <c r="H10" s="17" t="n">
        <f aca="false">'📋 Job 1'!H13</f>
        <v>0</v>
      </c>
      <c r="I10" s="17" t="n">
        <f aca="false">'📋 Job 1'!I13</f>
        <v>0</v>
      </c>
      <c r="J10" s="17" t="n">
        <f aca="false">'📋 Job 1'!J13</f>
        <v>0</v>
      </c>
      <c r="K10" s="17" t="n">
        <f aca="false">'📋 Job 1'!K13</f>
        <v>0</v>
      </c>
      <c r="L10" s="17" t="n">
        <f aca="false">'📋 Job 1'!L13</f>
        <v>0</v>
      </c>
      <c r="M10" s="17" t="n">
        <f aca="false">'📋 Job 1'!M13</f>
        <v>0</v>
      </c>
      <c r="N10" s="17" t="n">
        <f aca="false">'📋 Job 1'!N13</f>
        <v>0</v>
      </c>
      <c r="O10" s="17" t="n">
        <f aca="false">'📋 Job 1'!O13</f>
        <v>0</v>
      </c>
      <c r="P10" s="17" t="n">
        <f aca="false">'📋 Job 1'!P13</f>
        <v>0</v>
      </c>
    </row>
    <row r="11" customFormat="false" ht="18" hidden="false" customHeight="true" outlineLevel="0" collapsed="false">
      <c r="A11" s="18" t="s">
        <v>26</v>
      </c>
      <c r="B11" s="18"/>
      <c r="C11" s="19" t="n">
        <f aca="false">SUM('📋 Job 1'!D24:P24)</f>
        <v>0</v>
      </c>
      <c r="D11" s="20" t="n">
        <f aca="false">'📋 Job 1'!D24</f>
        <v>0</v>
      </c>
      <c r="E11" s="20" t="n">
        <f aca="false">'📋 Job 1'!E24</f>
        <v>0</v>
      </c>
      <c r="F11" s="20" t="n">
        <f aca="false">'📋 Job 1'!F24</f>
        <v>0</v>
      </c>
      <c r="G11" s="20" t="n">
        <f aca="false">'📋 Job 1'!G24</f>
        <v>0</v>
      </c>
      <c r="H11" s="20" t="n">
        <f aca="false">'📋 Job 1'!H24</f>
        <v>0</v>
      </c>
      <c r="I11" s="20" t="n">
        <f aca="false">'📋 Job 1'!I24</f>
        <v>0</v>
      </c>
      <c r="J11" s="20" t="n">
        <f aca="false">'📋 Job 1'!J24</f>
        <v>0</v>
      </c>
      <c r="K11" s="20" t="n">
        <f aca="false">'📋 Job 1'!K24</f>
        <v>0</v>
      </c>
      <c r="L11" s="20" t="n">
        <f aca="false">'📋 Job 1'!L24</f>
        <v>0</v>
      </c>
      <c r="M11" s="20" t="n">
        <f aca="false">'📋 Job 1'!M24</f>
        <v>0</v>
      </c>
      <c r="N11" s="20" t="n">
        <f aca="false">'📋 Job 1'!N24</f>
        <v>0</v>
      </c>
      <c r="O11" s="20" t="n">
        <f aca="false">'📋 Job 1'!O24</f>
        <v>0</v>
      </c>
      <c r="P11" s="20" t="n">
        <f aca="false">'📋 Job 1'!P24</f>
        <v>0</v>
      </c>
    </row>
    <row r="12" customFormat="false" ht="18" hidden="false" customHeight="true" outlineLevel="0" collapsed="false">
      <c r="A12" s="21" t="s">
        <v>27</v>
      </c>
      <c r="B12" s="21"/>
      <c r="C12" s="22" t="n">
        <f aca="false">SUM('📋 Job 1'!D26:P26)</f>
        <v>0</v>
      </c>
      <c r="D12" s="23" t="n">
        <f aca="false">'📋 Job 1'!D26</f>
        <v>0</v>
      </c>
      <c r="E12" s="23" t="n">
        <f aca="false">'📋 Job 1'!E26</f>
        <v>0</v>
      </c>
      <c r="F12" s="23" t="n">
        <f aca="false">'📋 Job 1'!F26</f>
        <v>0</v>
      </c>
      <c r="G12" s="23" t="n">
        <f aca="false">'📋 Job 1'!G26</f>
        <v>0</v>
      </c>
      <c r="H12" s="23" t="n">
        <f aca="false">'📋 Job 1'!H26</f>
        <v>0</v>
      </c>
      <c r="I12" s="23" t="n">
        <f aca="false">'📋 Job 1'!I26</f>
        <v>0</v>
      </c>
      <c r="J12" s="23" t="n">
        <f aca="false">'📋 Job 1'!J26</f>
        <v>0</v>
      </c>
      <c r="K12" s="23" t="n">
        <f aca="false">'📋 Job 1'!K26</f>
        <v>0</v>
      </c>
      <c r="L12" s="23" t="n">
        <f aca="false">'📋 Job 1'!L26</f>
        <v>0</v>
      </c>
      <c r="M12" s="23" t="n">
        <f aca="false">'📋 Job 1'!M26</f>
        <v>0</v>
      </c>
      <c r="N12" s="23" t="n">
        <f aca="false">'📋 Job 1'!N26</f>
        <v>0</v>
      </c>
      <c r="O12" s="23" t="n">
        <f aca="false">'📋 Job 1'!O26</f>
        <v>0</v>
      </c>
      <c r="P12" s="23" t="n">
        <f aca="false">'📋 Job 1'!P26</f>
        <v>0</v>
      </c>
    </row>
    <row r="13" customFormat="false" ht="18" hidden="false" customHeight="true" outlineLevel="0" collapsed="false">
      <c r="A13" s="24" t="s">
        <v>28</v>
      </c>
      <c r="B13" s="24"/>
      <c r="C13" s="25" t="n">
        <f aca="false">'📋 Job 1'!P27</f>
        <v>0</v>
      </c>
      <c r="D13" s="26" t="n">
        <f aca="false">'📋 Job 1'!D27</f>
        <v>0</v>
      </c>
      <c r="E13" s="26" t="n">
        <f aca="false">'📋 Job 1'!E27</f>
        <v>0</v>
      </c>
      <c r="F13" s="26" t="n">
        <f aca="false">'📋 Job 1'!F27</f>
        <v>0</v>
      </c>
      <c r="G13" s="26" t="n">
        <f aca="false">'📋 Job 1'!G27</f>
        <v>0</v>
      </c>
      <c r="H13" s="26" t="n">
        <f aca="false">'📋 Job 1'!H27</f>
        <v>0</v>
      </c>
      <c r="I13" s="26" t="n">
        <f aca="false">'📋 Job 1'!I27</f>
        <v>0</v>
      </c>
      <c r="J13" s="26" t="n">
        <f aca="false">'📋 Job 1'!J27</f>
        <v>0</v>
      </c>
      <c r="K13" s="26" t="n">
        <f aca="false">'📋 Job 1'!K27</f>
        <v>0</v>
      </c>
      <c r="L13" s="26" t="n">
        <f aca="false">'📋 Job 1'!L27</f>
        <v>0</v>
      </c>
      <c r="M13" s="26" t="n">
        <f aca="false">'📋 Job 1'!M27</f>
        <v>0</v>
      </c>
      <c r="N13" s="26" t="n">
        <f aca="false">'📋 Job 1'!N27</f>
        <v>0</v>
      </c>
      <c r="O13" s="26" t="n">
        <f aca="false">'📋 Job 1'!O27</f>
        <v>0</v>
      </c>
      <c r="P13" s="26" t="n">
        <f aca="false">'📋 Job 1'!P27</f>
        <v>0</v>
      </c>
    </row>
    <row r="15" customFormat="false" ht="18" hidden="false" customHeight="true" outlineLevel="0" collapsed="false">
      <c r="A15" s="14" t="s">
        <v>29</v>
      </c>
      <c r="B15" s="14"/>
      <c r="C15" s="14"/>
      <c r="D15" s="14"/>
      <c r="E15" s="14"/>
      <c r="F15" s="14"/>
      <c r="G15" s="14"/>
      <c r="H15" s="14"/>
      <c r="I15" s="14"/>
      <c r="J15" s="14"/>
      <c r="K15" s="14"/>
      <c r="L15" s="14"/>
      <c r="M15" s="14"/>
      <c r="N15" s="14"/>
      <c r="O15" s="14"/>
      <c r="P15" s="14"/>
    </row>
    <row r="16" customFormat="false" ht="18" hidden="false" customHeight="true" outlineLevel="0" collapsed="false">
      <c r="A16" s="15" t="s">
        <v>25</v>
      </c>
      <c r="B16" s="15"/>
      <c r="C16" s="16" t="n">
        <f aca="false">SUM('📋 Job 2'!D13:P13)</f>
        <v>0</v>
      </c>
      <c r="D16" s="17" t="n">
        <f aca="false">'📋 Job 2'!D13</f>
        <v>0</v>
      </c>
      <c r="E16" s="17" t="n">
        <f aca="false">'📋 Job 2'!E13</f>
        <v>0</v>
      </c>
      <c r="F16" s="17" t="n">
        <f aca="false">'📋 Job 2'!F13</f>
        <v>0</v>
      </c>
      <c r="G16" s="17" t="n">
        <f aca="false">'📋 Job 2'!G13</f>
        <v>0</v>
      </c>
      <c r="H16" s="17" t="n">
        <f aca="false">'📋 Job 2'!H13</f>
        <v>0</v>
      </c>
      <c r="I16" s="17" t="n">
        <f aca="false">'📋 Job 2'!I13</f>
        <v>0</v>
      </c>
      <c r="J16" s="17" t="n">
        <f aca="false">'📋 Job 2'!J13</f>
        <v>0</v>
      </c>
      <c r="K16" s="17" t="n">
        <f aca="false">'📋 Job 2'!K13</f>
        <v>0</v>
      </c>
      <c r="L16" s="17" t="n">
        <f aca="false">'📋 Job 2'!L13</f>
        <v>0</v>
      </c>
      <c r="M16" s="17" t="n">
        <f aca="false">'📋 Job 2'!M13</f>
        <v>0</v>
      </c>
      <c r="N16" s="17" t="n">
        <f aca="false">'📋 Job 2'!N13</f>
        <v>0</v>
      </c>
      <c r="O16" s="17" t="n">
        <f aca="false">'📋 Job 2'!O13</f>
        <v>0</v>
      </c>
      <c r="P16" s="17" t="n">
        <f aca="false">'📋 Job 2'!P13</f>
        <v>0</v>
      </c>
    </row>
    <row r="17" customFormat="false" ht="18" hidden="false" customHeight="true" outlineLevel="0" collapsed="false">
      <c r="A17" s="18" t="s">
        <v>26</v>
      </c>
      <c r="B17" s="18"/>
      <c r="C17" s="19" t="n">
        <f aca="false">SUM('📋 Job 2'!D24:P24)</f>
        <v>0</v>
      </c>
      <c r="D17" s="20" t="n">
        <f aca="false">'📋 Job 2'!D24</f>
        <v>0</v>
      </c>
      <c r="E17" s="20" t="n">
        <f aca="false">'📋 Job 2'!E24</f>
        <v>0</v>
      </c>
      <c r="F17" s="20" t="n">
        <f aca="false">'📋 Job 2'!F24</f>
        <v>0</v>
      </c>
      <c r="G17" s="20" t="n">
        <f aca="false">'📋 Job 2'!G24</f>
        <v>0</v>
      </c>
      <c r="H17" s="20" t="n">
        <f aca="false">'📋 Job 2'!H24</f>
        <v>0</v>
      </c>
      <c r="I17" s="20" t="n">
        <f aca="false">'📋 Job 2'!I24</f>
        <v>0</v>
      </c>
      <c r="J17" s="20" t="n">
        <f aca="false">'📋 Job 2'!J24</f>
        <v>0</v>
      </c>
      <c r="K17" s="20" t="n">
        <f aca="false">'📋 Job 2'!K24</f>
        <v>0</v>
      </c>
      <c r="L17" s="20" t="n">
        <f aca="false">'📋 Job 2'!L24</f>
        <v>0</v>
      </c>
      <c r="M17" s="20" t="n">
        <f aca="false">'📋 Job 2'!M24</f>
        <v>0</v>
      </c>
      <c r="N17" s="20" t="n">
        <f aca="false">'📋 Job 2'!N24</f>
        <v>0</v>
      </c>
      <c r="O17" s="20" t="n">
        <f aca="false">'📋 Job 2'!O24</f>
        <v>0</v>
      </c>
      <c r="P17" s="20" t="n">
        <f aca="false">'📋 Job 2'!P24</f>
        <v>0</v>
      </c>
    </row>
    <row r="18" customFormat="false" ht="18" hidden="false" customHeight="true" outlineLevel="0" collapsed="false">
      <c r="A18" s="21" t="s">
        <v>27</v>
      </c>
      <c r="B18" s="21"/>
      <c r="C18" s="22" t="n">
        <f aca="false">SUM('📋 Job 2'!D26:P26)</f>
        <v>0</v>
      </c>
      <c r="D18" s="23" t="n">
        <f aca="false">'📋 Job 2'!D26</f>
        <v>0</v>
      </c>
      <c r="E18" s="23" t="n">
        <f aca="false">'📋 Job 2'!E26</f>
        <v>0</v>
      </c>
      <c r="F18" s="23" t="n">
        <f aca="false">'📋 Job 2'!F26</f>
        <v>0</v>
      </c>
      <c r="G18" s="23" t="n">
        <f aca="false">'📋 Job 2'!G26</f>
        <v>0</v>
      </c>
      <c r="H18" s="23" t="n">
        <f aca="false">'📋 Job 2'!H26</f>
        <v>0</v>
      </c>
      <c r="I18" s="23" t="n">
        <f aca="false">'📋 Job 2'!I26</f>
        <v>0</v>
      </c>
      <c r="J18" s="23" t="n">
        <f aca="false">'📋 Job 2'!J26</f>
        <v>0</v>
      </c>
      <c r="K18" s="23" t="n">
        <f aca="false">'📋 Job 2'!K26</f>
        <v>0</v>
      </c>
      <c r="L18" s="23" t="n">
        <f aca="false">'📋 Job 2'!L26</f>
        <v>0</v>
      </c>
      <c r="M18" s="23" t="n">
        <f aca="false">'📋 Job 2'!M26</f>
        <v>0</v>
      </c>
      <c r="N18" s="23" t="n">
        <f aca="false">'📋 Job 2'!N26</f>
        <v>0</v>
      </c>
      <c r="O18" s="23" t="n">
        <f aca="false">'📋 Job 2'!O26</f>
        <v>0</v>
      </c>
      <c r="P18" s="23" t="n">
        <f aca="false">'📋 Job 2'!P26</f>
        <v>0</v>
      </c>
    </row>
    <row r="19" customFormat="false" ht="18" hidden="false" customHeight="true" outlineLevel="0" collapsed="false">
      <c r="A19" s="24" t="s">
        <v>28</v>
      </c>
      <c r="B19" s="24"/>
      <c r="C19" s="25" t="n">
        <f aca="false">'📋 Job 2'!P27</f>
        <v>0</v>
      </c>
      <c r="D19" s="26" t="n">
        <f aca="false">'📋 Job 2'!D27</f>
        <v>0</v>
      </c>
      <c r="E19" s="26" t="n">
        <f aca="false">'📋 Job 2'!E27</f>
        <v>0</v>
      </c>
      <c r="F19" s="26" t="n">
        <f aca="false">'📋 Job 2'!F27</f>
        <v>0</v>
      </c>
      <c r="G19" s="26" t="n">
        <f aca="false">'📋 Job 2'!G27</f>
        <v>0</v>
      </c>
      <c r="H19" s="26" t="n">
        <f aca="false">'📋 Job 2'!H27</f>
        <v>0</v>
      </c>
      <c r="I19" s="26" t="n">
        <f aca="false">'📋 Job 2'!I27</f>
        <v>0</v>
      </c>
      <c r="J19" s="26" t="n">
        <f aca="false">'📋 Job 2'!J27</f>
        <v>0</v>
      </c>
      <c r="K19" s="26" t="n">
        <f aca="false">'📋 Job 2'!K27</f>
        <v>0</v>
      </c>
      <c r="L19" s="26" t="n">
        <f aca="false">'📋 Job 2'!L27</f>
        <v>0</v>
      </c>
      <c r="M19" s="26" t="n">
        <f aca="false">'📋 Job 2'!M27</f>
        <v>0</v>
      </c>
      <c r="N19" s="26" t="n">
        <f aca="false">'📋 Job 2'!N27</f>
        <v>0</v>
      </c>
      <c r="O19" s="26" t="n">
        <f aca="false">'📋 Job 2'!O27</f>
        <v>0</v>
      </c>
      <c r="P19" s="26" t="n">
        <f aca="false">'📋 Job 2'!P27</f>
        <v>0</v>
      </c>
    </row>
    <row r="21" customFormat="false" ht="18" hidden="false" customHeight="true" outlineLevel="0" collapsed="false">
      <c r="A21" s="14" t="s">
        <v>30</v>
      </c>
      <c r="B21" s="14"/>
      <c r="C21" s="14"/>
      <c r="D21" s="14"/>
      <c r="E21" s="14"/>
      <c r="F21" s="14"/>
      <c r="G21" s="14"/>
      <c r="H21" s="14"/>
      <c r="I21" s="14"/>
      <c r="J21" s="14"/>
      <c r="K21" s="14"/>
      <c r="L21" s="14"/>
      <c r="M21" s="14"/>
      <c r="N21" s="14"/>
      <c r="O21" s="14"/>
      <c r="P21" s="14"/>
    </row>
    <row r="22" customFormat="false" ht="18" hidden="false" customHeight="true" outlineLevel="0" collapsed="false">
      <c r="A22" s="15" t="s">
        <v>25</v>
      </c>
      <c r="B22" s="15"/>
      <c r="C22" s="16" t="n">
        <f aca="false">SUM('📋 Job 3'!D13:P13)</f>
        <v>0</v>
      </c>
      <c r="D22" s="17" t="n">
        <f aca="false">'📋 Job 3'!D13</f>
        <v>0</v>
      </c>
      <c r="E22" s="17" t="n">
        <f aca="false">'📋 Job 3'!E13</f>
        <v>0</v>
      </c>
      <c r="F22" s="17" t="n">
        <f aca="false">'📋 Job 3'!F13</f>
        <v>0</v>
      </c>
      <c r="G22" s="17" t="n">
        <f aca="false">'📋 Job 3'!G13</f>
        <v>0</v>
      </c>
      <c r="H22" s="17" t="n">
        <f aca="false">'📋 Job 3'!H13</f>
        <v>0</v>
      </c>
      <c r="I22" s="17" t="n">
        <f aca="false">'📋 Job 3'!I13</f>
        <v>0</v>
      </c>
      <c r="J22" s="17" t="n">
        <f aca="false">'📋 Job 3'!J13</f>
        <v>0</v>
      </c>
      <c r="K22" s="17" t="n">
        <f aca="false">'📋 Job 3'!K13</f>
        <v>0</v>
      </c>
      <c r="L22" s="17" t="n">
        <f aca="false">'📋 Job 3'!L13</f>
        <v>0</v>
      </c>
      <c r="M22" s="17" t="n">
        <f aca="false">'📋 Job 3'!M13</f>
        <v>0</v>
      </c>
      <c r="N22" s="17" t="n">
        <f aca="false">'📋 Job 3'!N13</f>
        <v>0</v>
      </c>
      <c r="O22" s="17" t="n">
        <f aca="false">'📋 Job 3'!O13</f>
        <v>0</v>
      </c>
      <c r="P22" s="17" t="n">
        <f aca="false">'📋 Job 3'!P13</f>
        <v>0</v>
      </c>
    </row>
    <row r="23" customFormat="false" ht="18" hidden="false" customHeight="true" outlineLevel="0" collapsed="false">
      <c r="A23" s="18" t="s">
        <v>26</v>
      </c>
      <c r="B23" s="18"/>
      <c r="C23" s="19" t="n">
        <f aca="false">SUM('📋 Job 3'!D24:P24)</f>
        <v>0</v>
      </c>
      <c r="D23" s="20" t="n">
        <f aca="false">'📋 Job 3'!D24</f>
        <v>0</v>
      </c>
      <c r="E23" s="20" t="n">
        <f aca="false">'📋 Job 3'!E24</f>
        <v>0</v>
      </c>
      <c r="F23" s="20" t="n">
        <f aca="false">'📋 Job 3'!F24</f>
        <v>0</v>
      </c>
      <c r="G23" s="20" t="n">
        <f aca="false">'📋 Job 3'!G24</f>
        <v>0</v>
      </c>
      <c r="H23" s="20" t="n">
        <f aca="false">'📋 Job 3'!H24</f>
        <v>0</v>
      </c>
      <c r="I23" s="20" t="n">
        <f aca="false">'📋 Job 3'!I24</f>
        <v>0</v>
      </c>
      <c r="J23" s="20" t="n">
        <f aca="false">'📋 Job 3'!J24</f>
        <v>0</v>
      </c>
      <c r="K23" s="20" t="n">
        <f aca="false">'📋 Job 3'!K24</f>
        <v>0</v>
      </c>
      <c r="L23" s="20" t="n">
        <f aca="false">'📋 Job 3'!L24</f>
        <v>0</v>
      </c>
      <c r="M23" s="20" t="n">
        <f aca="false">'📋 Job 3'!M24</f>
        <v>0</v>
      </c>
      <c r="N23" s="20" t="n">
        <f aca="false">'📋 Job 3'!N24</f>
        <v>0</v>
      </c>
      <c r="O23" s="20" t="n">
        <f aca="false">'📋 Job 3'!O24</f>
        <v>0</v>
      </c>
      <c r="P23" s="20" t="n">
        <f aca="false">'📋 Job 3'!P24</f>
        <v>0</v>
      </c>
    </row>
    <row r="24" customFormat="false" ht="18" hidden="false" customHeight="true" outlineLevel="0" collapsed="false">
      <c r="A24" s="21" t="s">
        <v>27</v>
      </c>
      <c r="B24" s="21"/>
      <c r="C24" s="22" t="n">
        <f aca="false">SUM('📋 Job 3'!D26:P26)</f>
        <v>0</v>
      </c>
      <c r="D24" s="23" t="n">
        <f aca="false">'📋 Job 3'!D26</f>
        <v>0</v>
      </c>
      <c r="E24" s="23" t="n">
        <f aca="false">'📋 Job 3'!E26</f>
        <v>0</v>
      </c>
      <c r="F24" s="23" t="n">
        <f aca="false">'📋 Job 3'!F26</f>
        <v>0</v>
      </c>
      <c r="G24" s="23" t="n">
        <f aca="false">'📋 Job 3'!G26</f>
        <v>0</v>
      </c>
      <c r="H24" s="23" t="n">
        <f aca="false">'📋 Job 3'!H26</f>
        <v>0</v>
      </c>
      <c r="I24" s="23" t="n">
        <f aca="false">'📋 Job 3'!I26</f>
        <v>0</v>
      </c>
      <c r="J24" s="23" t="n">
        <f aca="false">'📋 Job 3'!J26</f>
        <v>0</v>
      </c>
      <c r="K24" s="23" t="n">
        <f aca="false">'📋 Job 3'!K26</f>
        <v>0</v>
      </c>
      <c r="L24" s="23" t="n">
        <f aca="false">'📋 Job 3'!L26</f>
        <v>0</v>
      </c>
      <c r="M24" s="23" t="n">
        <f aca="false">'📋 Job 3'!M26</f>
        <v>0</v>
      </c>
      <c r="N24" s="23" t="n">
        <f aca="false">'📋 Job 3'!N26</f>
        <v>0</v>
      </c>
      <c r="O24" s="23" t="n">
        <f aca="false">'📋 Job 3'!O26</f>
        <v>0</v>
      </c>
      <c r="P24" s="23" t="n">
        <f aca="false">'📋 Job 3'!P26</f>
        <v>0</v>
      </c>
    </row>
    <row r="25" customFormat="false" ht="18" hidden="false" customHeight="true" outlineLevel="0" collapsed="false">
      <c r="A25" s="24" t="s">
        <v>28</v>
      </c>
      <c r="B25" s="24"/>
      <c r="C25" s="25" t="n">
        <f aca="false">'📋 Job 3'!P27</f>
        <v>0</v>
      </c>
      <c r="D25" s="26" t="n">
        <f aca="false">'📋 Job 3'!D27</f>
        <v>0</v>
      </c>
      <c r="E25" s="26" t="n">
        <f aca="false">'📋 Job 3'!E27</f>
        <v>0</v>
      </c>
      <c r="F25" s="26" t="n">
        <f aca="false">'📋 Job 3'!F27</f>
        <v>0</v>
      </c>
      <c r="G25" s="26" t="n">
        <f aca="false">'📋 Job 3'!G27</f>
        <v>0</v>
      </c>
      <c r="H25" s="26" t="n">
        <f aca="false">'📋 Job 3'!H27</f>
        <v>0</v>
      </c>
      <c r="I25" s="26" t="n">
        <f aca="false">'📋 Job 3'!I27</f>
        <v>0</v>
      </c>
      <c r="J25" s="26" t="n">
        <f aca="false">'📋 Job 3'!J27</f>
        <v>0</v>
      </c>
      <c r="K25" s="26" t="n">
        <f aca="false">'📋 Job 3'!K27</f>
        <v>0</v>
      </c>
      <c r="L25" s="26" t="n">
        <f aca="false">'📋 Job 3'!L27</f>
        <v>0</v>
      </c>
      <c r="M25" s="26" t="n">
        <f aca="false">'📋 Job 3'!M27</f>
        <v>0</v>
      </c>
      <c r="N25" s="26" t="n">
        <f aca="false">'📋 Job 3'!N27</f>
        <v>0</v>
      </c>
      <c r="O25" s="26" t="n">
        <f aca="false">'📋 Job 3'!O27</f>
        <v>0</v>
      </c>
      <c r="P25" s="26" t="n">
        <f aca="false">'📋 Job 3'!P27</f>
        <v>0</v>
      </c>
    </row>
    <row r="27" customFormat="false" ht="18" hidden="false" customHeight="true" outlineLevel="0" collapsed="false">
      <c r="A27" s="14" t="s">
        <v>31</v>
      </c>
      <c r="B27" s="14"/>
      <c r="C27" s="14"/>
      <c r="D27" s="14"/>
      <c r="E27" s="14"/>
      <c r="F27" s="14"/>
      <c r="G27" s="14"/>
      <c r="H27" s="14"/>
      <c r="I27" s="14"/>
      <c r="J27" s="14"/>
      <c r="K27" s="14"/>
      <c r="L27" s="14"/>
      <c r="M27" s="14"/>
      <c r="N27" s="14"/>
      <c r="O27" s="14"/>
      <c r="P27" s="14"/>
    </row>
    <row r="28" customFormat="false" ht="18" hidden="false" customHeight="true" outlineLevel="0" collapsed="false">
      <c r="A28" s="15" t="s">
        <v>25</v>
      </c>
      <c r="B28" s="15"/>
      <c r="C28" s="16" t="n">
        <f aca="false">SUM('📋 Job 4'!D13:P13)</f>
        <v>0</v>
      </c>
      <c r="D28" s="17" t="n">
        <f aca="false">'📋 Job 4'!D13</f>
        <v>0</v>
      </c>
      <c r="E28" s="17" t="n">
        <f aca="false">'📋 Job 4'!E13</f>
        <v>0</v>
      </c>
      <c r="F28" s="17" t="n">
        <f aca="false">'📋 Job 4'!F13</f>
        <v>0</v>
      </c>
      <c r="G28" s="17" t="n">
        <f aca="false">'📋 Job 4'!G13</f>
        <v>0</v>
      </c>
      <c r="H28" s="17" t="n">
        <f aca="false">'📋 Job 4'!H13</f>
        <v>0</v>
      </c>
      <c r="I28" s="17" t="n">
        <f aca="false">'📋 Job 4'!I13</f>
        <v>0</v>
      </c>
      <c r="J28" s="17" t="n">
        <f aca="false">'📋 Job 4'!J13</f>
        <v>0</v>
      </c>
      <c r="K28" s="17" t="n">
        <f aca="false">'📋 Job 4'!K13</f>
        <v>0</v>
      </c>
      <c r="L28" s="17" t="n">
        <f aca="false">'📋 Job 4'!L13</f>
        <v>0</v>
      </c>
      <c r="M28" s="17" t="n">
        <f aca="false">'📋 Job 4'!M13</f>
        <v>0</v>
      </c>
      <c r="N28" s="17" t="n">
        <f aca="false">'📋 Job 4'!N13</f>
        <v>0</v>
      </c>
      <c r="O28" s="17" t="n">
        <f aca="false">'📋 Job 4'!O13</f>
        <v>0</v>
      </c>
      <c r="P28" s="17" t="n">
        <f aca="false">'📋 Job 4'!P13</f>
        <v>0</v>
      </c>
    </row>
    <row r="29" customFormat="false" ht="18" hidden="false" customHeight="true" outlineLevel="0" collapsed="false">
      <c r="A29" s="18" t="s">
        <v>26</v>
      </c>
      <c r="B29" s="18"/>
      <c r="C29" s="19" t="n">
        <f aca="false">SUM('📋 Job 4'!D24:P24)</f>
        <v>0</v>
      </c>
      <c r="D29" s="20" t="n">
        <f aca="false">'📋 Job 4'!D24</f>
        <v>0</v>
      </c>
      <c r="E29" s="20" t="n">
        <f aca="false">'📋 Job 4'!E24</f>
        <v>0</v>
      </c>
      <c r="F29" s="20" t="n">
        <f aca="false">'📋 Job 4'!F24</f>
        <v>0</v>
      </c>
      <c r="G29" s="20" t="n">
        <f aca="false">'📋 Job 4'!G24</f>
        <v>0</v>
      </c>
      <c r="H29" s="20" t="n">
        <f aca="false">'📋 Job 4'!H24</f>
        <v>0</v>
      </c>
      <c r="I29" s="20" t="n">
        <f aca="false">'📋 Job 4'!I24</f>
        <v>0</v>
      </c>
      <c r="J29" s="20" t="n">
        <f aca="false">'📋 Job 4'!J24</f>
        <v>0</v>
      </c>
      <c r="K29" s="20" t="n">
        <f aca="false">'📋 Job 4'!K24</f>
        <v>0</v>
      </c>
      <c r="L29" s="20" t="n">
        <f aca="false">'📋 Job 4'!L24</f>
        <v>0</v>
      </c>
      <c r="M29" s="20" t="n">
        <f aca="false">'📋 Job 4'!M24</f>
        <v>0</v>
      </c>
      <c r="N29" s="20" t="n">
        <f aca="false">'📋 Job 4'!N24</f>
        <v>0</v>
      </c>
      <c r="O29" s="20" t="n">
        <f aca="false">'📋 Job 4'!O24</f>
        <v>0</v>
      </c>
      <c r="P29" s="20" t="n">
        <f aca="false">'📋 Job 4'!P24</f>
        <v>0</v>
      </c>
    </row>
    <row r="30" customFormat="false" ht="18" hidden="false" customHeight="true" outlineLevel="0" collapsed="false">
      <c r="A30" s="21" t="s">
        <v>27</v>
      </c>
      <c r="B30" s="21"/>
      <c r="C30" s="22" t="n">
        <f aca="false">SUM('📋 Job 4'!D26:P26)</f>
        <v>0</v>
      </c>
      <c r="D30" s="23" t="n">
        <f aca="false">'📋 Job 4'!D26</f>
        <v>0</v>
      </c>
      <c r="E30" s="23" t="n">
        <f aca="false">'📋 Job 4'!E26</f>
        <v>0</v>
      </c>
      <c r="F30" s="23" t="n">
        <f aca="false">'📋 Job 4'!F26</f>
        <v>0</v>
      </c>
      <c r="G30" s="23" t="n">
        <f aca="false">'📋 Job 4'!G26</f>
        <v>0</v>
      </c>
      <c r="H30" s="23" t="n">
        <f aca="false">'📋 Job 4'!H26</f>
        <v>0</v>
      </c>
      <c r="I30" s="23" t="n">
        <f aca="false">'📋 Job 4'!I26</f>
        <v>0</v>
      </c>
      <c r="J30" s="23" t="n">
        <f aca="false">'📋 Job 4'!J26</f>
        <v>0</v>
      </c>
      <c r="K30" s="23" t="n">
        <f aca="false">'📋 Job 4'!K26</f>
        <v>0</v>
      </c>
      <c r="L30" s="23" t="n">
        <f aca="false">'📋 Job 4'!L26</f>
        <v>0</v>
      </c>
      <c r="M30" s="23" t="n">
        <f aca="false">'📋 Job 4'!M26</f>
        <v>0</v>
      </c>
      <c r="N30" s="23" t="n">
        <f aca="false">'📋 Job 4'!N26</f>
        <v>0</v>
      </c>
      <c r="O30" s="23" t="n">
        <f aca="false">'📋 Job 4'!O26</f>
        <v>0</v>
      </c>
      <c r="P30" s="23" t="n">
        <f aca="false">'📋 Job 4'!P26</f>
        <v>0</v>
      </c>
    </row>
    <row r="31" customFormat="false" ht="18" hidden="false" customHeight="true" outlineLevel="0" collapsed="false">
      <c r="A31" s="24" t="s">
        <v>28</v>
      </c>
      <c r="B31" s="24"/>
      <c r="C31" s="25" t="n">
        <f aca="false">'📋 Job 4'!P27</f>
        <v>0</v>
      </c>
      <c r="D31" s="26" t="n">
        <f aca="false">'📋 Job 4'!D27</f>
        <v>0</v>
      </c>
      <c r="E31" s="26" t="n">
        <f aca="false">'📋 Job 4'!E27</f>
        <v>0</v>
      </c>
      <c r="F31" s="26" t="n">
        <f aca="false">'📋 Job 4'!F27</f>
        <v>0</v>
      </c>
      <c r="G31" s="26" t="n">
        <f aca="false">'📋 Job 4'!G27</f>
        <v>0</v>
      </c>
      <c r="H31" s="26" t="n">
        <f aca="false">'📋 Job 4'!H27</f>
        <v>0</v>
      </c>
      <c r="I31" s="26" t="n">
        <f aca="false">'📋 Job 4'!I27</f>
        <v>0</v>
      </c>
      <c r="J31" s="26" t="n">
        <f aca="false">'📋 Job 4'!J27</f>
        <v>0</v>
      </c>
      <c r="K31" s="26" t="n">
        <f aca="false">'📋 Job 4'!K27</f>
        <v>0</v>
      </c>
      <c r="L31" s="26" t="n">
        <f aca="false">'📋 Job 4'!L27</f>
        <v>0</v>
      </c>
      <c r="M31" s="26" t="n">
        <f aca="false">'📋 Job 4'!M27</f>
        <v>0</v>
      </c>
      <c r="N31" s="26" t="n">
        <f aca="false">'📋 Job 4'!N27</f>
        <v>0</v>
      </c>
      <c r="O31" s="26" t="n">
        <f aca="false">'📋 Job 4'!O27</f>
        <v>0</v>
      </c>
      <c r="P31" s="26" t="n">
        <f aca="false">'📋 Job 4'!P27</f>
        <v>0</v>
      </c>
    </row>
    <row r="33" customFormat="false" ht="18" hidden="false" customHeight="true" outlineLevel="0" collapsed="false">
      <c r="A33" s="14" t="s">
        <v>32</v>
      </c>
      <c r="B33" s="14"/>
      <c r="C33" s="14"/>
      <c r="D33" s="14"/>
      <c r="E33" s="14"/>
      <c r="F33" s="14"/>
      <c r="G33" s="14"/>
      <c r="H33" s="14"/>
      <c r="I33" s="14"/>
      <c r="J33" s="14"/>
      <c r="K33" s="14"/>
      <c r="L33" s="14"/>
      <c r="M33" s="14"/>
      <c r="N33" s="14"/>
      <c r="O33" s="14"/>
      <c r="P33" s="14"/>
    </row>
    <row r="34" customFormat="false" ht="18" hidden="false" customHeight="true" outlineLevel="0" collapsed="false">
      <c r="A34" s="15" t="s">
        <v>25</v>
      </c>
      <c r="B34" s="15"/>
      <c r="C34" s="16" t="n">
        <f aca="false">SUM('📋 Job 5'!D13:P13)</f>
        <v>0</v>
      </c>
      <c r="D34" s="17" t="n">
        <f aca="false">'📋 Job 5'!D13</f>
        <v>0</v>
      </c>
      <c r="E34" s="17" t="n">
        <f aca="false">'📋 Job 5'!E13</f>
        <v>0</v>
      </c>
      <c r="F34" s="17" t="n">
        <f aca="false">'📋 Job 5'!F13</f>
        <v>0</v>
      </c>
      <c r="G34" s="17" t="n">
        <f aca="false">'📋 Job 5'!G13</f>
        <v>0</v>
      </c>
      <c r="H34" s="17" t="n">
        <f aca="false">'📋 Job 5'!H13</f>
        <v>0</v>
      </c>
      <c r="I34" s="17" t="n">
        <f aca="false">'📋 Job 5'!I13</f>
        <v>0</v>
      </c>
      <c r="J34" s="17" t="n">
        <f aca="false">'📋 Job 5'!J13</f>
        <v>0</v>
      </c>
      <c r="K34" s="17" t="n">
        <f aca="false">'📋 Job 5'!K13</f>
        <v>0</v>
      </c>
      <c r="L34" s="17" t="n">
        <f aca="false">'📋 Job 5'!L13</f>
        <v>0</v>
      </c>
      <c r="M34" s="17" t="n">
        <f aca="false">'📋 Job 5'!M13</f>
        <v>0</v>
      </c>
      <c r="N34" s="17" t="n">
        <f aca="false">'📋 Job 5'!N13</f>
        <v>0</v>
      </c>
      <c r="O34" s="17" t="n">
        <f aca="false">'📋 Job 5'!O13</f>
        <v>0</v>
      </c>
      <c r="P34" s="17" t="n">
        <f aca="false">'📋 Job 5'!P13</f>
        <v>0</v>
      </c>
    </row>
    <row r="35" customFormat="false" ht="18" hidden="false" customHeight="true" outlineLevel="0" collapsed="false">
      <c r="A35" s="18" t="s">
        <v>26</v>
      </c>
      <c r="B35" s="18"/>
      <c r="C35" s="19" t="n">
        <f aca="false">SUM('📋 Job 5'!D24:P24)</f>
        <v>0</v>
      </c>
      <c r="D35" s="20" t="n">
        <f aca="false">'📋 Job 5'!D24</f>
        <v>0</v>
      </c>
      <c r="E35" s="20" t="n">
        <f aca="false">'📋 Job 5'!E24</f>
        <v>0</v>
      </c>
      <c r="F35" s="20" t="n">
        <f aca="false">'📋 Job 5'!F24</f>
        <v>0</v>
      </c>
      <c r="G35" s="20" t="n">
        <f aca="false">'📋 Job 5'!G24</f>
        <v>0</v>
      </c>
      <c r="H35" s="20" t="n">
        <f aca="false">'📋 Job 5'!H24</f>
        <v>0</v>
      </c>
      <c r="I35" s="20" t="n">
        <f aca="false">'📋 Job 5'!I24</f>
        <v>0</v>
      </c>
      <c r="J35" s="20" t="n">
        <f aca="false">'📋 Job 5'!J24</f>
        <v>0</v>
      </c>
      <c r="K35" s="20" t="n">
        <f aca="false">'📋 Job 5'!K24</f>
        <v>0</v>
      </c>
      <c r="L35" s="20" t="n">
        <f aca="false">'📋 Job 5'!L24</f>
        <v>0</v>
      </c>
      <c r="M35" s="20" t="n">
        <f aca="false">'📋 Job 5'!M24</f>
        <v>0</v>
      </c>
      <c r="N35" s="20" t="n">
        <f aca="false">'📋 Job 5'!N24</f>
        <v>0</v>
      </c>
      <c r="O35" s="20" t="n">
        <f aca="false">'📋 Job 5'!O24</f>
        <v>0</v>
      </c>
      <c r="P35" s="20" t="n">
        <f aca="false">'📋 Job 5'!P24</f>
        <v>0</v>
      </c>
    </row>
    <row r="36" customFormat="false" ht="18" hidden="false" customHeight="true" outlineLevel="0" collapsed="false">
      <c r="A36" s="21" t="s">
        <v>27</v>
      </c>
      <c r="B36" s="21"/>
      <c r="C36" s="22" t="n">
        <f aca="false">SUM('📋 Job 5'!D26:P26)</f>
        <v>0</v>
      </c>
      <c r="D36" s="23" t="n">
        <f aca="false">'📋 Job 5'!D26</f>
        <v>0</v>
      </c>
      <c r="E36" s="23" t="n">
        <f aca="false">'📋 Job 5'!E26</f>
        <v>0</v>
      </c>
      <c r="F36" s="23" t="n">
        <f aca="false">'📋 Job 5'!F26</f>
        <v>0</v>
      </c>
      <c r="G36" s="23" t="n">
        <f aca="false">'📋 Job 5'!G26</f>
        <v>0</v>
      </c>
      <c r="H36" s="23" t="n">
        <f aca="false">'📋 Job 5'!H26</f>
        <v>0</v>
      </c>
      <c r="I36" s="23" t="n">
        <f aca="false">'📋 Job 5'!I26</f>
        <v>0</v>
      </c>
      <c r="J36" s="23" t="n">
        <f aca="false">'📋 Job 5'!J26</f>
        <v>0</v>
      </c>
      <c r="K36" s="23" t="n">
        <f aca="false">'📋 Job 5'!K26</f>
        <v>0</v>
      </c>
      <c r="L36" s="23" t="n">
        <f aca="false">'📋 Job 5'!L26</f>
        <v>0</v>
      </c>
      <c r="M36" s="23" t="n">
        <f aca="false">'📋 Job 5'!M26</f>
        <v>0</v>
      </c>
      <c r="N36" s="23" t="n">
        <f aca="false">'📋 Job 5'!N26</f>
        <v>0</v>
      </c>
      <c r="O36" s="23" t="n">
        <f aca="false">'📋 Job 5'!O26</f>
        <v>0</v>
      </c>
      <c r="P36" s="23" t="n">
        <f aca="false">'📋 Job 5'!P26</f>
        <v>0</v>
      </c>
    </row>
    <row r="37" customFormat="false" ht="18" hidden="false" customHeight="true" outlineLevel="0" collapsed="false">
      <c r="A37" s="24" t="s">
        <v>28</v>
      </c>
      <c r="B37" s="24"/>
      <c r="C37" s="25" t="n">
        <f aca="false">'📋 Job 5'!P27</f>
        <v>0</v>
      </c>
      <c r="D37" s="26" t="n">
        <f aca="false">'📋 Job 5'!D27</f>
        <v>0</v>
      </c>
      <c r="E37" s="26" t="n">
        <f aca="false">'📋 Job 5'!E27</f>
        <v>0</v>
      </c>
      <c r="F37" s="26" t="n">
        <f aca="false">'📋 Job 5'!F27</f>
        <v>0</v>
      </c>
      <c r="G37" s="26" t="n">
        <f aca="false">'📋 Job 5'!G27</f>
        <v>0</v>
      </c>
      <c r="H37" s="26" t="n">
        <f aca="false">'📋 Job 5'!H27</f>
        <v>0</v>
      </c>
      <c r="I37" s="26" t="n">
        <f aca="false">'📋 Job 5'!I27</f>
        <v>0</v>
      </c>
      <c r="J37" s="26" t="n">
        <f aca="false">'📋 Job 5'!J27</f>
        <v>0</v>
      </c>
      <c r="K37" s="26" t="n">
        <f aca="false">'📋 Job 5'!K27</f>
        <v>0</v>
      </c>
      <c r="L37" s="26" t="n">
        <f aca="false">'📋 Job 5'!L27</f>
        <v>0</v>
      </c>
      <c r="M37" s="26" t="n">
        <f aca="false">'📋 Job 5'!M27</f>
        <v>0</v>
      </c>
      <c r="N37" s="26" t="n">
        <f aca="false">'📋 Job 5'!N27</f>
        <v>0</v>
      </c>
      <c r="O37" s="26" t="n">
        <f aca="false">'📋 Job 5'!O27</f>
        <v>0</v>
      </c>
      <c r="P37" s="26" t="n">
        <f aca="false">'📋 Job 5'!P27</f>
        <v>0</v>
      </c>
    </row>
    <row r="39" customFormat="false" ht="19.5" hidden="false" customHeight="true" outlineLevel="0" collapsed="false">
      <c r="A39" s="27" t="s">
        <v>33</v>
      </c>
      <c r="B39" s="27"/>
      <c r="C39" s="27"/>
      <c r="D39" s="27"/>
      <c r="E39" s="27"/>
      <c r="F39" s="27"/>
      <c r="G39" s="27"/>
      <c r="H39" s="27"/>
      <c r="I39" s="27"/>
      <c r="J39" s="27"/>
      <c r="K39" s="27"/>
      <c r="L39" s="27"/>
      <c r="M39" s="27"/>
      <c r="N39" s="27"/>
      <c r="O39" s="27"/>
      <c r="P39" s="27"/>
    </row>
    <row r="40" customFormat="false" ht="19.5" hidden="false" customHeight="true" outlineLevel="0" collapsed="false">
      <c r="A40" s="27" t="s">
        <v>34</v>
      </c>
      <c r="B40" s="27"/>
      <c r="C40" s="28" t="n">
        <f aca="false">SUM('📋 Job 1'!D13:P13)+SUM('📋 Job 2'!D13:P13)+SUM('📋 Job 3'!D13:P13)+SUM('📋 Job 4'!D13:P13)+SUM('📋 Job 5'!D13:P13)</f>
        <v>0</v>
      </c>
      <c r="D40" s="28" t="n">
        <f aca="false">'📋 Job 1'!D13+'📋 Job 2'!D13+'📋 Job 3'!D13+'📋 Job 4'!D13+'📋 Job 5'!D13</f>
        <v>0</v>
      </c>
      <c r="E40" s="28" t="n">
        <f aca="false">'📋 Job 1'!E13+'📋 Job 2'!E13+'📋 Job 3'!E13+'📋 Job 4'!E13+'📋 Job 5'!E13</f>
        <v>0</v>
      </c>
      <c r="F40" s="28" t="n">
        <f aca="false">'📋 Job 1'!F13+'📋 Job 2'!F13+'📋 Job 3'!F13+'📋 Job 4'!F13+'📋 Job 5'!F13</f>
        <v>0</v>
      </c>
      <c r="G40" s="28" t="n">
        <f aca="false">'📋 Job 1'!G13+'📋 Job 2'!G13+'📋 Job 3'!G13+'📋 Job 4'!G13+'📋 Job 5'!G13</f>
        <v>0</v>
      </c>
      <c r="H40" s="28" t="n">
        <f aca="false">'📋 Job 1'!H13+'📋 Job 2'!H13+'📋 Job 3'!H13+'📋 Job 4'!H13+'📋 Job 5'!H13</f>
        <v>0</v>
      </c>
      <c r="I40" s="28" t="n">
        <f aca="false">'📋 Job 1'!I13+'📋 Job 2'!I13+'📋 Job 3'!I13+'📋 Job 4'!I13+'📋 Job 5'!I13</f>
        <v>0</v>
      </c>
      <c r="J40" s="28" t="n">
        <f aca="false">'📋 Job 1'!J13+'📋 Job 2'!J13+'📋 Job 3'!J13+'📋 Job 4'!J13+'📋 Job 5'!J13</f>
        <v>0</v>
      </c>
      <c r="K40" s="28" t="n">
        <f aca="false">'📋 Job 1'!K13+'📋 Job 2'!K13+'📋 Job 3'!K13+'📋 Job 4'!K13+'📋 Job 5'!K13</f>
        <v>0</v>
      </c>
      <c r="L40" s="28" t="n">
        <f aca="false">'📋 Job 1'!L13+'📋 Job 2'!L13+'📋 Job 3'!L13+'📋 Job 4'!L13+'📋 Job 5'!L13</f>
        <v>0</v>
      </c>
      <c r="M40" s="28" t="n">
        <f aca="false">'📋 Job 1'!M13+'📋 Job 2'!M13+'📋 Job 3'!M13+'📋 Job 4'!M13+'📋 Job 5'!M13</f>
        <v>0</v>
      </c>
      <c r="N40" s="28" t="n">
        <f aca="false">'📋 Job 1'!N13+'📋 Job 2'!N13+'📋 Job 3'!N13+'📋 Job 4'!N13+'📋 Job 5'!N13</f>
        <v>0</v>
      </c>
      <c r="O40" s="28" t="n">
        <f aca="false">'📋 Job 1'!O13+'📋 Job 2'!O13+'📋 Job 3'!O13+'📋 Job 4'!O13+'📋 Job 5'!O13</f>
        <v>0</v>
      </c>
      <c r="P40" s="28" t="n">
        <f aca="false">'📋 Job 1'!P13+'📋 Job 2'!P13+'📋 Job 3'!P13+'📋 Job 4'!P13+'📋 Job 5'!P13</f>
        <v>0</v>
      </c>
    </row>
    <row r="41" customFormat="false" ht="19.5" hidden="false" customHeight="true" outlineLevel="0" collapsed="false">
      <c r="A41" s="29" t="s">
        <v>35</v>
      </c>
      <c r="B41" s="29"/>
      <c r="C41" s="30" t="n">
        <f aca="false">SUM('📋 Job 1'!D24:P24)+SUM('📋 Job 2'!D24:P24)+SUM('📋 Job 3'!D24:P24)+SUM('📋 Job 4'!D24:P24)+SUM('📋 Job 5'!D24:P24)</f>
        <v>0</v>
      </c>
      <c r="D41" s="30" t="n">
        <f aca="false">'📋 Job 1'!D24+'📋 Job 2'!D24+'📋 Job 3'!D24+'📋 Job 4'!D24+'📋 Job 5'!D24</f>
        <v>0</v>
      </c>
      <c r="E41" s="30" t="n">
        <f aca="false">'📋 Job 1'!E24+'📋 Job 2'!E24+'📋 Job 3'!E24+'📋 Job 4'!E24+'📋 Job 5'!E24</f>
        <v>0</v>
      </c>
      <c r="F41" s="30" t="n">
        <f aca="false">'📋 Job 1'!F24+'📋 Job 2'!F24+'📋 Job 3'!F24+'📋 Job 4'!F24+'📋 Job 5'!F24</f>
        <v>0</v>
      </c>
      <c r="G41" s="30" t="n">
        <f aca="false">'📋 Job 1'!G24+'📋 Job 2'!G24+'📋 Job 3'!G24+'📋 Job 4'!G24+'📋 Job 5'!G24</f>
        <v>0</v>
      </c>
      <c r="H41" s="30" t="n">
        <f aca="false">'📋 Job 1'!H24+'📋 Job 2'!H24+'📋 Job 3'!H24+'📋 Job 4'!H24+'📋 Job 5'!H24</f>
        <v>0</v>
      </c>
      <c r="I41" s="30" t="n">
        <f aca="false">'📋 Job 1'!I24+'📋 Job 2'!I24+'📋 Job 3'!I24+'📋 Job 4'!I24+'📋 Job 5'!I24</f>
        <v>0</v>
      </c>
      <c r="J41" s="30" t="n">
        <f aca="false">'📋 Job 1'!J24+'📋 Job 2'!J24+'📋 Job 3'!J24+'📋 Job 4'!J24+'📋 Job 5'!J24</f>
        <v>0</v>
      </c>
      <c r="K41" s="30" t="n">
        <f aca="false">'📋 Job 1'!K24+'📋 Job 2'!K24+'📋 Job 3'!K24+'📋 Job 4'!K24+'📋 Job 5'!K24</f>
        <v>0</v>
      </c>
      <c r="L41" s="30" t="n">
        <f aca="false">'📋 Job 1'!L24+'📋 Job 2'!L24+'📋 Job 3'!L24+'📋 Job 4'!L24+'📋 Job 5'!L24</f>
        <v>0</v>
      </c>
      <c r="M41" s="30" t="n">
        <f aca="false">'📋 Job 1'!M24+'📋 Job 2'!M24+'📋 Job 3'!M24+'📋 Job 4'!M24+'📋 Job 5'!M24</f>
        <v>0</v>
      </c>
      <c r="N41" s="30" t="n">
        <f aca="false">'📋 Job 1'!N24+'📋 Job 2'!N24+'📋 Job 3'!N24+'📋 Job 4'!N24+'📋 Job 5'!N24</f>
        <v>0</v>
      </c>
      <c r="O41" s="30" t="n">
        <f aca="false">'📋 Job 1'!O24+'📋 Job 2'!O24+'📋 Job 3'!O24+'📋 Job 4'!O24+'📋 Job 5'!O24</f>
        <v>0</v>
      </c>
      <c r="P41" s="30" t="n">
        <f aca="false">'📋 Job 1'!P24+'📋 Job 2'!P24+'📋 Job 3'!P24+'📋 Job 4'!P24+'📋 Job 5'!P24</f>
        <v>0</v>
      </c>
    </row>
    <row r="42" customFormat="false" ht="19.5" hidden="false" customHeight="true" outlineLevel="0" collapsed="false">
      <c r="A42" s="13" t="s">
        <v>36</v>
      </c>
      <c r="B42" s="13"/>
      <c r="C42" s="25" t="n">
        <f aca="false">SUM('📋 Job 1'!D26:P26)+SUM('📋 Job 2'!D26:P26)+SUM('📋 Job 3'!D26:P26)+SUM('📋 Job 4'!D26:P26)+SUM('📋 Job 5'!D26:P26)</f>
        <v>0</v>
      </c>
      <c r="D42" s="25" t="n">
        <f aca="false">'📋 Job 1'!D26+'📋 Job 2'!D26+'📋 Job 3'!D26+'📋 Job 4'!D26+'📋 Job 5'!D26</f>
        <v>0</v>
      </c>
      <c r="E42" s="25" t="n">
        <f aca="false">'📋 Job 1'!E26+'📋 Job 2'!E26+'📋 Job 3'!E26+'📋 Job 4'!E26+'📋 Job 5'!E26</f>
        <v>0</v>
      </c>
      <c r="F42" s="25" t="n">
        <f aca="false">'📋 Job 1'!F26+'📋 Job 2'!F26+'📋 Job 3'!F26+'📋 Job 4'!F26+'📋 Job 5'!F26</f>
        <v>0</v>
      </c>
      <c r="G42" s="25" t="n">
        <f aca="false">'📋 Job 1'!G26+'📋 Job 2'!G26+'📋 Job 3'!G26+'📋 Job 4'!G26+'📋 Job 5'!G26</f>
        <v>0</v>
      </c>
      <c r="H42" s="25" t="n">
        <f aca="false">'📋 Job 1'!H26+'📋 Job 2'!H26+'📋 Job 3'!H26+'📋 Job 4'!H26+'📋 Job 5'!H26</f>
        <v>0</v>
      </c>
      <c r="I42" s="25" t="n">
        <f aca="false">'📋 Job 1'!I26+'📋 Job 2'!I26+'📋 Job 3'!I26+'📋 Job 4'!I26+'📋 Job 5'!I26</f>
        <v>0</v>
      </c>
      <c r="J42" s="25" t="n">
        <f aca="false">'📋 Job 1'!J26+'📋 Job 2'!J26+'📋 Job 3'!J26+'📋 Job 4'!J26+'📋 Job 5'!J26</f>
        <v>0</v>
      </c>
      <c r="K42" s="25" t="n">
        <f aca="false">'📋 Job 1'!K26+'📋 Job 2'!K26+'📋 Job 3'!K26+'📋 Job 4'!K26+'📋 Job 5'!K26</f>
        <v>0</v>
      </c>
      <c r="L42" s="25" t="n">
        <f aca="false">'📋 Job 1'!L26+'📋 Job 2'!L26+'📋 Job 3'!L26+'📋 Job 4'!L26+'📋 Job 5'!L26</f>
        <v>0</v>
      </c>
      <c r="M42" s="25" t="n">
        <f aca="false">'📋 Job 1'!M26+'📋 Job 2'!M26+'📋 Job 3'!M26+'📋 Job 4'!M26+'📋 Job 5'!M26</f>
        <v>0</v>
      </c>
      <c r="N42" s="25" t="n">
        <f aca="false">'📋 Job 1'!N26+'📋 Job 2'!N26+'📋 Job 3'!N26+'📋 Job 4'!N26+'📋 Job 5'!N26</f>
        <v>0</v>
      </c>
      <c r="O42" s="25" t="n">
        <f aca="false">'📋 Job 1'!O26+'📋 Job 2'!O26+'📋 Job 3'!O26+'📋 Job 4'!O26+'📋 Job 5'!O26</f>
        <v>0</v>
      </c>
      <c r="P42" s="25" t="n">
        <f aca="false">'📋 Job 1'!P26+'📋 Job 2'!P26+'📋 Job 3'!P26+'📋 Job 4'!P26+'📋 Job 5'!P26</f>
        <v>0</v>
      </c>
    </row>
    <row r="43" customFormat="false" ht="19.5" hidden="false" customHeight="true" outlineLevel="0" collapsed="false">
      <c r="A43" s="14" t="s">
        <v>37</v>
      </c>
      <c r="B43" s="14"/>
      <c r="C43" s="31" t="n">
        <f aca="false">'📋 Job 1'!P27+'📋 Job 2'!P27+'📋 Job 3'!P27+'📋 Job 4'!P27+'📋 Job 5'!P27</f>
        <v>0</v>
      </c>
      <c r="D43" s="31" t="n">
        <f aca="false">'📋 Job 1'!D27+'📋 Job 2'!D27+'📋 Job 3'!D27+'📋 Job 4'!D27+'📋 Job 5'!D27</f>
        <v>0</v>
      </c>
      <c r="E43" s="31" t="n">
        <f aca="false">'📋 Job 1'!E27+'📋 Job 2'!E27+'📋 Job 3'!E27+'📋 Job 4'!E27+'📋 Job 5'!E27</f>
        <v>0</v>
      </c>
      <c r="F43" s="31" t="n">
        <f aca="false">'📋 Job 1'!F27+'📋 Job 2'!F27+'📋 Job 3'!F27+'📋 Job 4'!F27+'📋 Job 5'!F27</f>
        <v>0</v>
      </c>
      <c r="G43" s="31" t="n">
        <f aca="false">'📋 Job 1'!G27+'📋 Job 2'!G27+'📋 Job 3'!G27+'📋 Job 4'!G27+'📋 Job 5'!G27</f>
        <v>0</v>
      </c>
      <c r="H43" s="31" t="n">
        <f aca="false">'📋 Job 1'!H27+'📋 Job 2'!H27+'📋 Job 3'!H27+'📋 Job 4'!H27+'📋 Job 5'!H27</f>
        <v>0</v>
      </c>
      <c r="I43" s="31" t="n">
        <f aca="false">'📋 Job 1'!I27+'📋 Job 2'!I27+'📋 Job 3'!I27+'📋 Job 4'!I27+'📋 Job 5'!I27</f>
        <v>0</v>
      </c>
      <c r="J43" s="31" t="n">
        <f aca="false">'📋 Job 1'!J27+'📋 Job 2'!J27+'📋 Job 3'!J27+'📋 Job 4'!J27+'📋 Job 5'!J27</f>
        <v>0</v>
      </c>
      <c r="K43" s="31" t="n">
        <f aca="false">'📋 Job 1'!K27+'📋 Job 2'!K27+'📋 Job 3'!K27+'📋 Job 4'!K27+'📋 Job 5'!K27</f>
        <v>0</v>
      </c>
      <c r="L43" s="31" t="n">
        <f aca="false">'📋 Job 1'!L27+'📋 Job 2'!L27+'📋 Job 3'!L27+'📋 Job 4'!L27+'📋 Job 5'!L27</f>
        <v>0</v>
      </c>
      <c r="M43" s="31" t="n">
        <f aca="false">'📋 Job 1'!M27+'📋 Job 2'!M27+'📋 Job 3'!M27+'📋 Job 4'!M27+'📋 Job 5'!M27</f>
        <v>0</v>
      </c>
      <c r="N43" s="31" t="n">
        <f aca="false">'📋 Job 1'!N27+'📋 Job 2'!N27+'📋 Job 3'!N27+'📋 Job 4'!N27+'📋 Job 5'!N27</f>
        <v>0</v>
      </c>
      <c r="O43" s="31" t="n">
        <f aca="false">'📋 Job 1'!O27+'📋 Job 2'!O27+'📋 Job 3'!O27+'📋 Job 4'!O27+'📋 Job 5'!O27</f>
        <v>0</v>
      </c>
      <c r="P43" s="31" t="n">
        <f aca="false">'📋 Job 1'!P27+'📋 Job 2'!P27+'📋 Job 3'!P27+'📋 Job 4'!P27+'📋 Job 5'!P27</f>
        <v>0</v>
      </c>
    </row>
    <row r="45" customFormat="false" ht="18" hidden="false" customHeight="true" outlineLevel="0" collapsed="false">
      <c r="A45" s="32" t="s">
        <v>38</v>
      </c>
      <c r="B45" s="32"/>
      <c r="C45" s="32"/>
      <c r="D45" s="32"/>
      <c r="E45" s="32"/>
      <c r="F45" s="32"/>
      <c r="G45" s="32"/>
      <c r="H45" s="32"/>
      <c r="I45" s="32"/>
      <c r="J45" s="32"/>
      <c r="K45" s="32"/>
      <c r="L45" s="32"/>
      <c r="M45" s="32"/>
      <c r="N45" s="32"/>
      <c r="O45" s="32"/>
      <c r="P45" s="32"/>
    </row>
    <row r="47" customFormat="false" ht="19.5" hidden="false" customHeight="true" outlineLevel="0" collapsed="false">
      <c r="A47" s="13" t="s">
        <v>39</v>
      </c>
      <c r="B47" s="13"/>
      <c r="C47" s="13"/>
      <c r="D47" s="13"/>
      <c r="E47" s="13"/>
      <c r="F47" s="13"/>
      <c r="G47" s="13"/>
      <c r="H47" s="13"/>
      <c r="I47" s="13"/>
      <c r="J47" s="13"/>
      <c r="K47" s="13"/>
      <c r="L47" s="13"/>
      <c r="M47" s="13"/>
      <c r="N47" s="13"/>
      <c r="O47" s="13"/>
      <c r="P47" s="13"/>
    </row>
    <row r="48" customFormat="false" ht="18" hidden="false" customHeight="true" outlineLevel="0" collapsed="false">
      <c r="A48" s="33" t="s">
        <v>40</v>
      </c>
      <c r="B48" s="33"/>
      <c r="C48" s="33"/>
      <c r="D48" s="33"/>
      <c r="E48" s="34" t="n">
        <f aca="false">SUM('📋 Job 1'!D13:P13)+SUM('📋 Job 2'!D13:P13)+SUM('📋 Job 3'!D13:P13)+SUM('📋 Job 4'!D13:P13)+SUM('📋 Job 5'!D13:P13)</f>
        <v>0</v>
      </c>
    </row>
    <row r="49" customFormat="false" ht="18" hidden="false" customHeight="true" outlineLevel="0" collapsed="false">
      <c r="A49" s="35" t="s">
        <v>41</v>
      </c>
      <c r="B49" s="35"/>
      <c r="C49" s="35"/>
      <c r="D49" s="35"/>
      <c r="E49" s="34" t="n">
        <f aca="false">SUM('📋 Job 1'!D24:P24)+SUM('📋 Job 2'!D24:P24)+SUM('📋 Job 3'!D24:P24)+SUM('📋 Job 4'!D24:P24)+SUM('📋 Job 5'!D24:P24)</f>
        <v>0</v>
      </c>
    </row>
    <row r="50" customFormat="false" ht="18" hidden="false" customHeight="true" outlineLevel="0" collapsed="false">
      <c r="A50" s="33" t="s">
        <v>42</v>
      </c>
      <c r="B50" s="33"/>
      <c r="C50" s="33"/>
      <c r="D50" s="33"/>
      <c r="E50" s="36" t="n">
        <f aca="false">SUM('📋 Job 1'!D26:P26)+SUM('📋 Job 2'!D26:P26)+SUM('📋 Job 3'!D26:P26)+SUM('📋 Job 4'!D26:P26)+SUM('📋 Job 5'!D26:P26)</f>
        <v>0</v>
      </c>
    </row>
    <row r="51" customFormat="false" ht="18" hidden="false" customHeight="true" outlineLevel="0" collapsed="false">
      <c r="A51" s="35" t="s">
        <v>43</v>
      </c>
      <c r="B51" s="35"/>
      <c r="C51" s="35"/>
      <c r="D51" s="35"/>
      <c r="E51" s="34" t="n">
        <f aca="false">'📋 Job 1'!P27+'📋 Job 2'!P27+'📋 Job 3'!P27+'📋 Job 4'!P27+'📋 Job 5'!P27</f>
        <v>0</v>
      </c>
    </row>
    <row r="52" customFormat="false" ht="18" hidden="false" customHeight="true" outlineLevel="0" collapsed="false">
      <c r="A52" s="33" t="s">
        <v>44</v>
      </c>
      <c r="B52" s="33"/>
      <c r="C52" s="33"/>
      <c r="D52" s="33"/>
      <c r="E52" s="34" t="n">
        <f aca="false">MIN(MIN('📋 Job 1'!D27:P27),MIN('📋 Job 2'!D27:P27),MIN('📋 Job 3'!D27:P27),MIN('📋 Job 4'!D27:P27),MIN('📋 Job 5'!D27:P27))</f>
        <v>0</v>
      </c>
    </row>
    <row r="53" customFormat="false" ht="18" hidden="false" customHeight="true" outlineLevel="0" collapsed="false">
      <c r="A53" s="35" t="s">
        <v>45</v>
      </c>
      <c r="B53" s="35"/>
      <c r="C53" s="35"/>
      <c r="D53" s="35"/>
      <c r="E53" s="36" t="n">
        <f aca="false">COUNTIF('📋 Job 1'!D27:P27,"&lt;"&amp;'📋 Job 1'!F3)+COUNTIF('📋 Job 2'!D27:P27,"&lt;"&amp;'📋 Job 2'!F3)+COUNTIF('📋 Job 3'!D27:P27,"&lt;"&amp;'📋 Job 3'!F3)+COUNTIF('📋 Job 4'!D27:P27,"&lt;"&amp;'📋 Job 4'!F3)+COUNTIF('📋 Job 5'!D27:P27,"&lt;"&amp;'📋 Job 5'!F3)</f>
        <v>65</v>
      </c>
    </row>
    <row r="55" customFormat="false" ht="21.75" hidden="false" customHeight="true" outlineLevel="0" collapsed="false">
      <c r="A55" s="37" t="s">
        <v>46</v>
      </c>
      <c r="B55" s="37"/>
      <c r="C55" s="37"/>
      <c r="D55" s="37"/>
      <c r="E55" s="37"/>
      <c r="F55" s="37"/>
      <c r="G55" s="37"/>
      <c r="H55" s="37"/>
      <c r="I55" s="37"/>
      <c r="J55" s="37"/>
      <c r="K55" s="37"/>
      <c r="L55" s="37"/>
      <c r="M55" s="37"/>
      <c r="N55" s="37"/>
      <c r="O55" s="37"/>
      <c r="P55" s="37"/>
    </row>
  </sheetData>
  <sheetProtection sheet="true" password="df0a"/>
  <mergeCells count="44">
    <mergeCell ref="A1:P1"/>
    <mergeCell ref="C3:P3"/>
    <mergeCell ref="A5:B5"/>
    <mergeCell ref="A6:B6"/>
    <mergeCell ref="A8:P8"/>
    <mergeCell ref="A9:P9"/>
    <mergeCell ref="A10:B10"/>
    <mergeCell ref="A11:B11"/>
    <mergeCell ref="A12:B12"/>
    <mergeCell ref="A13:B13"/>
    <mergeCell ref="A15:P15"/>
    <mergeCell ref="A16:B16"/>
    <mergeCell ref="A17:B17"/>
    <mergeCell ref="A18:B18"/>
    <mergeCell ref="A19:B19"/>
    <mergeCell ref="A21:P21"/>
    <mergeCell ref="A22:B22"/>
    <mergeCell ref="A23:B23"/>
    <mergeCell ref="A24:B24"/>
    <mergeCell ref="A25:B25"/>
    <mergeCell ref="A27:P27"/>
    <mergeCell ref="A28:B28"/>
    <mergeCell ref="A29:B29"/>
    <mergeCell ref="A30:B30"/>
    <mergeCell ref="A31:B31"/>
    <mergeCell ref="A33:P33"/>
    <mergeCell ref="A34:B34"/>
    <mergeCell ref="A35:B35"/>
    <mergeCell ref="A36:B36"/>
    <mergeCell ref="A37:B37"/>
    <mergeCell ref="A39:P39"/>
    <mergeCell ref="A40:B40"/>
    <mergeCell ref="A41:B41"/>
    <mergeCell ref="A42:B42"/>
    <mergeCell ref="A43:B43"/>
    <mergeCell ref="A45:P45"/>
    <mergeCell ref="A47:P47"/>
    <mergeCell ref="A48:D48"/>
    <mergeCell ref="A49:D49"/>
    <mergeCell ref="A50:D50"/>
    <mergeCell ref="A51:D51"/>
    <mergeCell ref="A52:D52"/>
    <mergeCell ref="A53:D53"/>
    <mergeCell ref="A55:P55"/>
  </mergeCells>
  <conditionalFormatting sqref="D12">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conditionalFormatting sqref="E12">
    <cfRule type="cellIs" priority="4" operator="lessThan" aboveAverage="0" equalAverage="0" bottom="0" percent="0" rank="0" text="" dxfId="0">
      <formula>0</formula>
    </cfRule>
    <cfRule type="cellIs" priority="5" operator="greaterThan" aboveAverage="0" equalAverage="0" bottom="0" percent="0" rank="0" text="" dxfId="1">
      <formula>0</formula>
    </cfRule>
  </conditionalFormatting>
  <conditionalFormatting sqref="F12">
    <cfRule type="cellIs" priority="6" operator="lessThan" aboveAverage="0" equalAverage="0" bottom="0" percent="0" rank="0" text="" dxfId="0">
      <formula>0</formula>
    </cfRule>
    <cfRule type="cellIs" priority="7" operator="greaterThan" aboveAverage="0" equalAverage="0" bottom="0" percent="0" rank="0" text="" dxfId="1">
      <formula>0</formula>
    </cfRule>
  </conditionalFormatting>
  <conditionalFormatting sqref="G12">
    <cfRule type="cellIs" priority="8" operator="lessThan" aboveAverage="0" equalAverage="0" bottom="0" percent="0" rank="0" text="" dxfId="0">
      <formula>0</formula>
    </cfRule>
    <cfRule type="cellIs" priority="9" operator="greaterThan" aboveAverage="0" equalAverage="0" bottom="0" percent="0" rank="0" text="" dxfId="1">
      <formula>0</formula>
    </cfRule>
  </conditionalFormatting>
  <conditionalFormatting sqref="H12">
    <cfRule type="cellIs" priority="10" operator="lessThan" aboveAverage="0" equalAverage="0" bottom="0" percent="0" rank="0" text="" dxfId="0">
      <formula>0</formula>
    </cfRule>
    <cfRule type="cellIs" priority="11" operator="greaterThan" aboveAverage="0" equalAverage="0" bottom="0" percent="0" rank="0" text="" dxfId="1">
      <formula>0</formula>
    </cfRule>
  </conditionalFormatting>
  <conditionalFormatting sqref="I12">
    <cfRule type="cellIs" priority="12" operator="lessThan" aboveAverage="0" equalAverage="0" bottom="0" percent="0" rank="0" text="" dxfId="0">
      <formula>0</formula>
    </cfRule>
    <cfRule type="cellIs" priority="13" operator="greaterThan" aboveAverage="0" equalAverage="0" bottom="0" percent="0" rank="0" text="" dxfId="1">
      <formula>0</formula>
    </cfRule>
  </conditionalFormatting>
  <conditionalFormatting sqref="J12">
    <cfRule type="cellIs" priority="14" operator="lessThan" aboveAverage="0" equalAverage="0" bottom="0" percent="0" rank="0" text="" dxfId="0">
      <formula>0</formula>
    </cfRule>
    <cfRule type="cellIs" priority="15" operator="greaterThan" aboveAverage="0" equalAverage="0" bottom="0" percent="0" rank="0" text="" dxfId="1">
      <formula>0</formula>
    </cfRule>
  </conditionalFormatting>
  <conditionalFormatting sqref="K12">
    <cfRule type="cellIs" priority="16" operator="lessThan" aboveAverage="0" equalAverage="0" bottom="0" percent="0" rank="0" text="" dxfId="0">
      <formula>0</formula>
    </cfRule>
    <cfRule type="cellIs" priority="17" operator="greaterThan" aboveAverage="0" equalAverage="0" bottom="0" percent="0" rank="0" text="" dxfId="1">
      <formula>0</formula>
    </cfRule>
  </conditionalFormatting>
  <conditionalFormatting sqref="L12">
    <cfRule type="cellIs" priority="18" operator="lessThan" aboveAverage="0" equalAverage="0" bottom="0" percent="0" rank="0" text="" dxfId="0">
      <formula>0</formula>
    </cfRule>
    <cfRule type="cellIs" priority="19" operator="greaterThan" aboveAverage="0" equalAverage="0" bottom="0" percent="0" rank="0" text="" dxfId="1">
      <formula>0</formula>
    </cfRule>
  </conditionalFormatting>
  <conditionalFormatting sqref="M12">
    <cfRule type="cellIs" priority="20" operator="lessThan" aboveAverage="0" equalAverage="0" bottom="0" percent="0" rank="0" text="" dxfId="0">
      <formula>0</formula>
    </cfRule>
    <cfRule type="cellIs" priority="21" operator="greaterThan" aboveAverage="0" equalAverage="0" bottom="0" percent="0" rank="0" text="" dxfId="1">
      <formula>0</formula>
    </cfRule>
  </conditionalFormatting>
  <conditionalFormatting sqref="N12">
    <cfRule type="cellIs" priority="22" operator="lessThan" aboveAverage="0" equalAverage="0" bottom="0" percent="0" rank="0" text="" dxfId="0">
      <formula>0</formula>
    </cfRule>
    <cfRule type="cellIs" priority="23" operator="greaterThan" aboveAverage="0" equalAverage="0" bottom="0" percent="0" rank="0" text="" dxfId="1">
      <formula>0</formula>
    </cfRule>
  </conditionalFormatting>
  <conditionalFormatting sqref="O12">
    <cfRule type="cellIs" priority="24" operator="lessThan" aboveAverage="0" equalAverage="0" bottom="0" percent="0" rank="0" text="" dxfId="0">
      <formula>0</formula>
    </cfRule>
    <cfRule type="cellIs" priority="25" operator="greaterThan" aboveAverage="0" equalAverage="0" bottom="0" percent="0" rank="0" text="" dxfId="1">
      <formula>0</formula>
    </cfRule>
  </conditionalFormatting>
  <conditionalFormatting sqref="P12">
    <cfRule type="cellIs" priority="26" operator="lessThan" aboveAverage="0" equalAverage="0" bottom="0" percent="0" rank="0" text="" dxfId="0">
      <formula>0</formula>
    </cfRule>
    <cfRule type="cellIs" priority="27" operator="greaterThan" aboveAverage="0" equalAverage="0" bottom="0" percent="0" rank="0" text="" dxfId="1">
      <formula>0</formula>
    </cfRule>
  </conditionalFormatting>
  <conditionalFormatting sqref="D18">
    <cfRule type="cellIs" priority="28" operator="lessThan" aboveAverage="0" equalAverage="0" bottom="0" percent="0" rank="0" text="" dxfId="0">
      <formula>0</formula>
    </cfRule>
    <cfRule type="cellIs" priority="29" operator="greaterThan" aboveAverage="0" equalAverage="0" bottom="0" percent="0" rank="0" text="" dxfId="1">
      <formula>0</formula>
    </cfRule>
  </conditionalFormatting>
  <conditionalFormatting sqref="E18">
    <cfRule type="cellIs" priority="30" operator="lessThan" aboveAverage="0" equalAverage="0" bottom="0" percent="0" rank="0" text="" dxfId="0">
      <formula>0</formula>
    </cfRule>
    <cfRule type="cellIs" priority="31" operator="greaterThan" aboveAverage="0" equalAverage="0" bottom="0" percent="0" rank="0" text="" dxfId="1">
      <formula>0</formula>
    </cfRule>
  </conditionalFormatting>
  <conditionalFormatting sqref="F18">
    <cfRule type="cellIs" priority="32" operator="lessThan" aboveAverage="0" equalAverage="0" bottom="0" percent="0" rank="0" text="" dxfId="0">
      <formula>0</formula>
    </cfRule>
    <cfRule type="cellIs" priority="33" operator="greaterThan" aboveAverage="0" equalAverage="0" bottom="0" percent="0" rank="0" text="" dxfId="1">
      <formula>0</formula>
    </cfRule>
  </conditionalFormatting>
  <conditionalFormatting sqref="G18">
    <cfRule type="cellIs" priority="34" operator="lessThan" aboveAverage="0" equalAverage="0" bottom="0" percent="0" rank="0" text="" dxfId="0">
      <formula>0</formula>
    </cfRule>
    <cfRule type="cellIs" priority="35" operator="greaterThan" aboveAverage="0" equalAverage="0" bottom="0" percent="0" rank="0" text="" dxfId="1">
      <formula>0</formula>
    </cfRule>
  </conditionalFormatting>
  <conditionalFormatting sqref="H18">
    <cfRule type="cellIs" priority="36" operator="lessThan" aboveAverage="0" equalAverage="0" bottom="0" percent="0" rank="0" text="" dxfId="0">
      <formula>0</formula>
    </cfRule>
    <cfRule type="cellIs" priority="37" operator="greaterThan" aboveAverage="0" equalAverage="0" bottom="0" percent="0" rank="0" text="" dxfId="1">
      <formula>0</formula>
    </cfRule>
  </conditionalFormatting>
  <conditionalFormatting sqref="I18">
    <cfRule type="cellIs" priority="38" operator="lessThan" aboveAverage="0" equalAverage="0" bottom="0" percent="0" rank="0" text="" dxfId="0">
      <formula>0</formula>
    </cfRule>
    <cfRule type="cellIs" priority="39" operator="greaterThan" aboveAverage="0" equalAverage="0" bottom="0" percent="0" rank="0" text="" dxfId="1">
      <formula>0</formula>
    </cfRule>
  </conditionalFormatting>
  <conditionalFormatting sqref="J18">
    <cfRule type="cellIs" priority="40" operator="lessThan" aboveAverage="0" equalAverage="0" bottom="0" percent="0" rank="0" text="" dxfId="0">
      <formula>0</formula>
    </cfRule>
    <cfRule type="cellIs" priority="41" operator="greaterThan" aboveAverage="0" equalAverage="0" bottom="0" percent="0" rank="0" text="" dxfId="1">
      <formula>0</formula>
    </cfRule>
  </conditionalFormatting>
  <conditionalFormatting sqref="K18">
    <cfRule type="cellIs" priority="42" operator="lessThan" aboveAverage="0" equalAverage="0" bottom="0" percent="0" rank="0" text="" dxfId="0">
      <formula>0</formula>
    </cfRule>
    <cfRule type="cellIs" priority="43" operator="greaterThan" aboveAverage="0" equalAverage="0" bottom="0" percent="0" rank="0" text="" dxfId="1">
      <formula>0</formula>
    </cfRule>
  </conditionalFormatting>
  <conditionalFormatting sqref="L18">
    <cfRule type="cellIs" priority="44" operator="lessThan" aboveAverage="0" equalAverage="0" bottom="0" percent="0" rank="0" text="" dxfId="0">
      <formula>0</formula>
    </cfRule>
    <cfRule type="cellIs" priority="45" operator="greaterThan" aboveAverage="0" equalAverage="0" bottom="0" percent="0" rank="0" text="" dxfId="1">
      <formula>0</formula>
    </cfRule>
  </conditionalFormatting>
  <conditionalFormatting sqref="M18">
    <cfRule type="cellIs" priority="46" operator="lessThan" aboveAverage="0" equalAverage="0" bottom="0" percent="0" rank="0" text="" dxfId="0">
      <formula>0</formula>
    </cfRule>
    <cfRule type="cellIs" priority="47" operator="greaterThan" aboveAverage="0" equalAverage="0" bottom="0" percent="0" rank="0" text="" dxfId="1">
      <formula>0</formula>
    </cfRule>
  </conditionalFormatting>
  <conditionalFormatting sqref="N18">
    <cfRule type="cellIs" priority="48" operator="lessThan" aboveAverage="0" equalAverage="0" bottom="0" percent="0" rank="0" text="" dxfId="0">
      <formula>0</formula>
    </cfRule>
    <cfRule type="cellIs" priority="49" operator="greaterThan" aboveAverage="0" equalAverage="0" bottom="0" percent="0" rank="0" text="" dxfId="1">
      <formula>0</formula>
    </cfRule>
  </conditionalFormatting>
  <conditionalFormatting sqref="O18">
    <cfRule type="cellIs" priority="50" operator="lessThan" aboveAverage="0" equalAverage="0" bottom="0" percent="0" rank="0" text="" dxfId="0">
      <formula>0</formula>
    </cfRule>
    <cfRule type="cellIs" priority="51" operator="greaterThan" aboveAverage="0" equalAverage="0" bottom="0" percent="0" rank="0" text="" dxfId="1">
      <formula>0</formula>
    </cfRule>
  </conditionalFormatting>
  <conditionalFormatting sqref="P18">
    <cfRule type="cellIs" priority="52" operator="lessThan" aboveAverage="0" equalAverage="0" bottom="0" percent="0" rank="0" text="" dxfId="0">
      <formula>0</formula>
    </cfRule>
    <cfRule type="cellIs" priority="53" operator="greaterThan" aboveAverage="0" equalAverage="0" bottom="0" percent="0" rank="0" text="" dxfId="1">
      <formula>0</formula>
    </cfRule>
  </conditionalFormatting>
  <conditionalFormatting sqref="D24">
    <cfRule type="cellIs" priority="54" operator="lessThan" aboveAverage="0" equalAverage="0" bottom="0" percent="0" rank="0" text="" dxfId="0">
      <formula>0</formula>
    </cfRule>
    <cfRule type="cellIs" priority="55" operator="greaterThan" aboveAverage="0" equalAverage="0" bottom="0" percent="0" rank="0" text="" dxfId="1">
      <formula>0</formula>
    </cfRule>
  </conditionalFormatting>
  <conditionalFormatting sqref="E24">
    <cfRule type="cellIs" priority="56" operator="lessThan" aboveAverage="0" equalAverage="0" bottom="0" percent="0" rank="0" text="" dxfId="0">
      <formula>0</formula>
    </cfRule>
    <cfRule type="cellIs" priority="57" operator="greaterThan" aboveAverage="0" equalAverage="0" bottom="0" percent="0" rank="0" text="" dxfId="1">
      <formula>0</formula>
    </cfRule>
  </conditionalFormatting>
  <conditionalFormatting sqref="F24">
    <cfRule type="cellIs" priority="58" operator="lessThan" aboveAverage="0" equalAverage="0" bottom="0" percent="0" rank="0" text="" dxfId="0">
      <formula>0</formula>
    </cfRule>
    <cfRule type="cellIs" priority="59" operator="greaterThan" aboveAverage="0" equalAverage="0" bottom="0" percent="0" rank="0" text="" dxfId="1">
      <formula>0</formula>
    </cfRule>
  </conditionalFormatting>
  <conditionalFormatting sqref="G24">
    <cfRule type="cellIs" priority="60" operator="lessThan" aboveAverage="0" equalAverage="0" bottom="0" percent="0" rank="0" text="" dxfId="0">
      <formula>0</formula>
    </cfRule>
    <cfRule type="cellIs" priority="61" operator="greaterThan" aboveAverage="0" equalAverage="0" bottom="0" percent="0" rank="0" text="" dxfId="1">
      <formula>0</formula>
    </cfRule>
  </conditionalFormatting>
  <conditionalFormatting sqref="H24">
    <cfRule type="cellIs" priority="62" operator="lessThan" aboveAverage="0" equalAverage="0" bottom="0" percent="0" rank="0" text="" dxfId="0">
      <formula>0</formula>
    </cfRule>
    <cfRule type="cellIs" priority="63" operator="greaterThan" aboveAverage="0" equalAverage="0" bottom="0" percent="0" rank="0" text="" dxfId="1">
      <formula>0</formula>
    </cfRule>
  </conditionalFormatting>
  <conditionalFormatting sqref="I24">
    <cfRule type="cellIs" priority="64" operator="lessThan" aboveAverage="0" equalAverage="0" bottom="0" percent="0" rank="0" text="" dxfId="0">
      <formula>0</formula>
    </cfRule>
    <cfRule type="cellIs" priority="65" operator="greaterThan" aboveAverage="0" equalAverage="0" bottom="0" percent="0" rank="0" text="" dxfId="1">
      <formula>0</formula>
    </cfRule>
  </conditionalFormatting>
  <conditionalFormatting sqref="J24">
    <cfRule type="cellIs" priority="66" operator="lessThan" aboveAverage="0" equalAverage="0" bottom="0" percent="0" rank="0" text="" dxfId="0">
      <formula>0</formula>
    </cfRule>
    <cfRule type="cellIs" priority="67" operator="greaterThan" aboveAverage="0" equalAverage="0" bottom="0" percent="0" rank="0" text="" dxfId="1">
      <formula>0</formula>
    </cfRule>
  </conditionalFormatting>
  <conditionalFormatting sqref="K24">
    <cfRule type="cellIs" priority="68" operator="lessThan" aboveAverage="0" equalAverage="0" bottom="0" percent="0" rank="0" text="" dxfId="0">
      <formula>0</formula>
    </cfRule>
    <cfRule type="cellIs" priority="69" operator="greaterThan" aboveAverage="0" equalAverage="0" bottom="0" percent="0" rank="0" text="" dxfId="1">
      <formula>0</formula>
    </cfRule>
  </conditionalFormatting>
  <conditionalFormatting sqref="L24">
    <cfRule type="cellIs" priority="70" operator="lessThan" aboveAverage="0" equalAverage="0" bottom="0" percent="0" rank="0" text="" dxfId="0">
      <formula>0</formula>
    </cfRule>
    <cfRule type="cellIs" priority="71" operator="greaterThan" aboveAverage="0" equalAverage="0" bottom="0" percent="0" rank="0" text="" dxfId="1">
      <formula>0</formula>
    </cfRule>
  </conditionalFormatting>
  <conditionalFormatting sqref="M24">
    <cfRule type="cellIs" priority="72" operator="lessThan" aboveAverage="0" equalAverage="0" bottom="0" percent="0" rank="0" text="" dxfId="0">
      <formula>0</formula>
    </cfRule>
    <cfRule type="cellIs" priority="73" operator="greaterThan" aboveAverage="0" equalAverage="0" bottom="0" percent="0" rank="0" text="" dxfId="1">
      <formula>0</formula>
    </cfRule>
  </conditionalFormatting>
  <conditionalFormatting sqref="N24">
    <cfRule type="cellIs" priority="74" operator="lessThan" aboveAverage="0" equalAverage="0" bottom="0" percent="0" rank="0" text="" dxfId="0">
      <formula>0</formula>
    </cfRule>
    <cfRule type="cellIs" priority="75" operator="greaterThan" aboveAverage="0" equalAverage="0" bottom="0" percent="0" rank="0" text="" dxfId="1">
      <formula>0</formula>
    </cfRule>
  </conditionalFormatting>
  <conditionalFormatting sqref="O24">
    <cfRule type="cellIs" priority="76" operator="lessThan" aboveAverage="0" equalAverage="0" bottom="0" percent="0" rank="0" text="" dxfId="0">
      <formula>0</formula>
    </cfRule>
    <cfRule type="cellIs" priority="77" operator="greaterThan" aboveAverage="0" equalAverage="0" bottom="0" percent="0" rank="0" text="" dxfId="1">
      <formula>0</formula>
    </cfRule>
  </conditionalFormatting>
  <conditionalFormatting sqref="P24">
    <cfRule type="cellIs" priority="78" operator="lessThan" aboveAverage="0" equalAverage="0" bottom="0" percent="0" rank="0" text="" dxfId="0">
      <formula>0</formula>
    </cfRule>
    <cfRule type="cellIs" priority="79" operator="greaterThan" aboveAverage="0" equalAverage="0" bottom="0" percent="0" rank="0" text="" dxfId="1">
      <formula>0</formula>
    </cfRule>
  </conditionalFormatting>
  <conditionalFormatting sqref="D30">
    <cfRule type="cellIs" priority="80" operator="lessThan" aboveAverage="0" equalAverage="0" bottom="0" percent="0" rank="0" text="" dxfId="0">
      <formula>0</formula>
    </cfRule>
    <cfRule type="cellIs" priority="81" operator="greaterThan" aboveAverage="0" equalAverage="0" bottom="0" percent="0" rank="0" text="" dxfId="1">
      <formula>0</formula>
    </cfRule>
  </conditionalFormatting>
  <conditionalFormatting sqref="E30">
    <cfRule type="cellIs" priority="82" operator="lessThan" aboveAverage="0" equalAverage="0" bottom="0" percent="0" rank="0" text="" dxfId="0">
      <formula>0</formula>
    </cfRule>
    <cfRule type="cellIs" priority="83" operator="greaterThan" aboveAverage="0" equalAverage="0" bottom="0" percent="0" rank="0" text="" dxfId="1">
      <formula>0</formula>
    </cfRule>
  </conditionalFormatting>
  <conditionalFormatting sqref="F30">
    <cfRule type="cellIs" priority="84" operator="lessThan" aboveAverage="0" equalAverage="0" bottom="0" percent="0" rank="0" text="" dxfId="0">
      <formula>0</formula>
    </cfRule>
    <cfRule type="cellIs" priority="85" operator="greaterThan" aboveAverage="0" equalAverage="0" bottom="0" percent="0" rank="0" text="" dxfId="1">
      <formula>0</formula>
    </cfRule>
  </conditionalFormatting>
  <conditionalFormatting sqref="G30">
    <cfRule type="cellIs" priority="86" operator="lessThan" aboveAverage="0" equalAverage="0" bottom="0" percent="0" rank="0" text="" dxfId="0">
      <formula>0</formula>
    </cfRule>
    <cfRule type="cellIs" priority="87" operator="greaterThan" aboveAverage="0" equalAverage="0" bottom="0" percent="0" rank="0" text="" dxfId="1">
      <formula>0</formula>
    </cfRule>
  </conditionalFormatting>
  <conditionalFormatting sqref="H30">
    <cfRule type="cellIs" priority="88" operator="lessThan" aboveAverage="0" equalAverage="0" bottom="0" percent="0" rank="0" text="" dxfId="0">
      <formula>0</formula>
    </cfRule>
    <cfRule type="cellIs" priority="89" operator="greaterThan" aboveAverage="0" equalAverage="0" bottom="0" percent="0" rank="0" text="" dxfId="1">
      <formula>0</formula>
    </cfRule>
  </conditionalFormatting>
  <conditionalFormatting sqref="I30">
    <cfRule type="cellIs" priority="90" operator="lessThan" aboveAverage="0" equalAverage="0" bottom="0" percent="0" rank="0" text="" dxfId="0">
      <formula>0</formula>
    </cfRule>
    <cfRule type="cellIs" priority="91" operator="greaterThan" aboveAverage="0" equalAverage="0" bottom="0" percent="0" rank="0" text="" dxfId="1">
      <formula>0</formula>
    </cfRule>
  </conditionalFormatting>
  <conditionalFormatting sqref="J30">
    <cfRule type="cellIs" priority="92" operator="lessThan" aboveAverage="0" equalAverage="0" bottom="0" percent="0" rank="0" text="" dxfId="0">
      <formula>0</formula>
    </cfRule>
    <cfRule type="cellIs" priority="93" operator="greaterThan" aboveAverage="0" equalAverage="0" bottom="0" percent="0" rank="0" text="" dxfId="1">
      <formula>0</formula>
    </cfRule>
  </conditionalFormatting>
  <conditionalFormatting sqref="K30">
    <cfRule type="cellIs" priority="94" operator="lessThan" aboveAverage="0" equalAverage="0" bottom="0" percent="0" rank="0" text="" dxfId="0">
      <formula>0</formula>
    </cfRule>
    <cfRule type="cellIs" priority="95" operator="greaterThan" aboveAverage="0" equalAverage="0" bottom="0" percent="0" rank="0" text="" dxfId="1">
      <formula>0</formula>
    </cfRule>
  </conditionalFormatting>
  <conditionalFormatting sqref="L30">
    <cfRule type="cellIs" priority="96" operator="lessThan" aboveAverage="0" equalAverage="0" bottom="0" percent="0" rank="0" text="" dxfId="0">
      <formula>0</formula>
    </cfRule>
    <cfRule type="cellIs" priority="97" operator="greaterThan" aboveAverage="0" equalAverage="0" bottom="0" percent="0" rank="0" text="" dxfId="1">
      <formula>0</formula>
    </cfRule>
  </conditionalFormatting>
  <conditionalFormatting sqref="M30">
    <cfRule type="cellIs" priority="98" operator="lessThan" aboveAverage="0" equalAverage="0" bottom="0" percent="0" rank="0" text="" dxfId="0">
      <formula>0</formula>
    </cfRule>
    <cfRule type="cellIs" priority="99" operator="greaterThan" aboveAverage="0" equalAverage="0" bottom="0" percent="0" rank="0" text="" dxfId="1">
      <formula>0</formula>
    </cfRule>
  </conditionalFormatting>
  <conditionalFormatting sqref="N30">
    <cfRule type="cellIs" priority="100" operator="lessThan" aboveAverage="0" equalAverage="0" bottom="0" percent="0" rank="0" text="" dxfId="0">
      <formula>0</formula>
    </cfRule>
    <cfRule type="cellIs" priority="101" operator="greaterThan" aboveAverage="0" equalAverage="0" bottom="0" percent="0" rank="0" text="" dxfId="1">
      <formula>0</formula>
    </cfRule>
  </conditionalFormatting>
  <conditionalFormatting sqref="O30">
    <cfRule type="cellIs" priority="102" operator="lessThan" aboveAverage="0" equalAverage="0" bottom="0" percent="0" rank="0" text="" dxfId="0">
      <formula>0</formula>
    </cfRule>
    <cfRule type="cellIs" priority="103" operator="greaterThan" aboveAverage="0" equalAverage="0" bottom="0" percent="0" rank="0" text="" dxfId="1">
      <formula>0</formula>
    </cfRule>
  </conditionalFormatting>
  <conditionalFormatting sqref="P30">
    <cfRule type="cellIs" priority="104" operator="lessThan" aboveAverage="0" equalAverage="0" bottom="0" percent="0" rank="0" text="" dxfId="0">
      <formula>0</formula>
    </cfRule>
    <cfRule type="cellIs" priority="105" operator="greaterThan" aboveAverage="0" equalAverage="0" bottom="0" percent="0" rank="0" text="" dxfId="1">
      <formula>0</formula>
    </cfRule>
  </conditionalFormatting>
  <conditionalFormatting sqref="D36">
    <cfRule type="cellIs" priority="106" operator="lessThan" aboveAverage="0" equalAverage="0" bottom="0" percent="0" rank="0" text="" dxfId="0">
      <formula>0</formula>
    </cfRule>
    <cfRule type="cellIs" priority="107" operator="greaterThan" aboveAverage="0" equalAverage="0" bottom="0" percent="0" rank="0" text="" dxfId="1">
      <formula>0</formula>
    </cfRule>
  </conditionalFormatting>
  <conditionalFormatting sqref="E36">
    <cfRule type="cellIs" priority="108" operator="lessThan" aboveAverage="0" equalAverage="0" bottom="0" percent="0" rank="0" text="" dxfId="0">
      <formula>0</formula>
    </cfRule>
    <cfRule type="cellIs" priority="109" operator="greaterThan" aboveAverage="0" equalAverage="0" bottom="0" percent="0" rank="0" text="" dxfId="1">
      <formula>0</formula>
    </cfRule>
  </conditionalFormatting>
  <conditionalFormatting sqref="F36">
    <cfRule type="cellIs" priority="110" operator="lessThan" aboveAverage="0" equalAverage="0" bottom="0" percent="0" rank="0" text="" dxfId="0">
      <formula>0</formula>
    </cfRule>
    <cfRule type="cellIs" priority="111" operator="greaterThan" aboveAverage="0" equalAverage="0" bottom="0" percent="0" rank="0" text="" dxfId="1">
      <formula>0</formula>
    </cfRule>
  </conditionalFormatting>
  <conditionalFormatting sqref="G36">
    <cfRule type="cellIs" priority="112" operator="lessThan" aboveAverage="0" equalAverage="0" bottom="0" percent="0" rank="0" text="" dxfId="0">
      <formula>0</formula>
    </cfRule>
    <cfRule type="cellIs" priority="113" operator="greaterThan" aboveAverage="0" equalAverage="0" bottom="0" percent="0" rank="0" text="" dxfId="1">
      <formula>0</formula>
    </cfRule>
  </conditionalFormatting>
  <conditionalFormatting sqref="H36">
    <cfRule type="cellIs" priority="114" operator="lessThan" aboveAverage="0" equalAverage="0" bottom="0" percent="0" rank="0" text="" dxfId="0">
      <formula>0</formula>
    </cfRule>
    <cfRule type="cellIs" priority="115" operator="greaterThan" aboveAverage="0" equalAverage="0" bottom="0" percent="0" rank="0" text="" dxfId="1">
      <formula>0</formula>
    </cfRule>
  </conditionalFormatting>
  <conditionalFormatting sqref="I36">
    <cfRule type="cellIs" priority="116" operator="lessThan" aboveAverage="0" equalAverage="0" bottom="0" percent="0" rank="0" text="" dxfId="0">
      <formula>0</formula>
    </cfRule>
    <cfRule type="cellIs" priority="117" operator="greaterThan" aboveAverage="0" equalAverage="0" bottom="0" percent="0" rank="0" text="" dxfId="1">
      <formula>0</formula>
    </cfRule>
  </conditionalFormatting>
  <conditionalFormatting sqref="J36">
    <cfRule type="cellIs" priority="118" operator="lessThan" aboveAverage="0" equalAverage="0" bottom="0" percent="0" rank="0" text="" dxfId="0">
      <formula>0</formula>
    </cfRule>
    <cfRule type="cellIs" priority="119" operator="greaterThan" aboveAverage="0" equalAverage="0" bottom="0" percent="0" rank="0" text="" dxfId="1">
      <formula>0</formula>
    </cfRule>
  </conditionalFormatting>
  <conditionalFormatting sqref="K36">
    <cfRule type="cellIs" priority="120" operator="lessThan" aboveAverage="0" equalAverage="0" bottom="0" percent="0" rank="0" text="" dxfId="0">
      <formula>0</formula>
    </cfRule>
    <cfRule type="cellIs" priority="121" operator="greaterThan" aboveAverage="0" equalAverage="0" bottom="0" percent="0" rank="0" text="" dxfId="1">
      <formula>0</formula>
    </cfRule>
  </conditionalFormatting>
  <conditionalFormatting sqref="L36">
    <cfRule type="cellIs" priority="122" operator="lessThan" aboveAverage="0" equalAverage="0" bottom="0" percent="0" rank="0" text="" dxfId="0">
      <formula>0</formula>
    </cfRule>
    <cfRule type="cellIs" priority="123" operator="greaterThan" aboveAverage="0" equalAverage="0" bottom="0" percent="0" rank="0" text="" dxfId="1">
      <formula>0</formula>
    </cfRule>
  </conditionalFormatting>
  <conditionalFormatting sqref="M36">
    <cfRule type="cellIs" priority="124" operator="lessThan" aboveAverage="0" equalAverage="0" bottom="0" percent="0" rank="0" text="" dxfId="0">
      <formula>0</formula>
    </cfRule>
    <cfRule type="cellIs" priority="125" operator="greaterThan" aboveAverage="0" equalAverage="0" bottom="0" percent="0" rank="0" text="" dxfId="1">
      <formula>0</formula>
    </cfRule>
  </conditionalFormatting>
  <conditionalFormatting sqref="N36">
    <cfRule type="cellIs" priority="126" operator="lessThan" aboveAverage="0" equalAverage="0" bottom="0" percent="0" rank="0" text="" dxfId="0">
      <formula>0</formula>
    </cfRule>
    <cfRule type="cellIs" priority="127" operator="greaterThan" aboveAverage="0" equalAverage="0" bottom="0" percent="0" rank="0" text="" dxfId="1">
      <formula>0</formula>
    </cfRule>
  </conditionalFormatting>
  <conditionalFormatting sqref="O36">
    <cfRule type="cellIs" priority="128" operator="lessThan" aboveAverage="0" equalAverage="0" bottom="0" percent="0" rank="0" text="" dxfId="0">
      <formula>0</formula>
    </cfRule>
    <cfRule type="cellIs" priority="129" operator="greaterThan" aboveAverage="0" equalAverage="0" bottom="0" percent="0" rank="0" text="" dxfId="1">
      <formula>0</formula>
    </cfRule>
  </conditionalFormatting>
  <conditionalFormatting sqref="P36">
    <cfRule type="cellIs" priority="130" operator="lessThan" aboveAverage="0" equalAverage="0" bottom="0" percent="0" rank="0" text="" dxfId="0">
      <formula>0</formula>
    </cfRule>
    <cfRule type="cellIs" priority="131" operator="greaterThan" aboveAverage="0" equalAverage="0" bottom="0" percent="0" rank="0" text="" dxfId="1">
      <formula>0</formula>
    </cfRule>
  </conditionalFormatting>
  <conditionalFormatting sqref="D42">
    <cfRule type="cellIs" priority="132" operator="lessThan" aboveAverage="0" equalAverage="0" bottom="0" percent="0" rank="0" text="" dxfId="0">
      <formula>0</formula>
    </cfRule>
    <cfRule type="cellIs" priority="133" operator="greaterThan" aboveAverage="0" equalAverage="0" bottom="0" percent="0" rank="0" text="" dxfId="1">
      <formula>0</formula>
    </cfRule>
  </conditionalFormatting>
  <conditionalFormatting sqref="E42">
    <cfRule type="cellIs" priority="134" operator="lessThan" aboveAverage="0" equalAverage="0" bottom="0" percent="0" rank="0" text="" dxfId="0">
      <formula>0</formula>
    </cfRule>
    <cfRule type="cellIs" priority="135" operator="greaterThan" aboveAverage="0" equalAverage="0" bottom="0" percent="0" rank="0" text="" dxfId="1">
      <formula>0</formula>
    </cfRule>
  </conditionalFormatting>
  <conditionalFormatting sqref="F42">
    <cfRule type="cellIs" priority="136" operator="lessThan" aboveAverage="0" equalAverage="0" bottom="0" percent="0" rank="0" text="" dxfId="0">
      <formula>0</formula>
    </cfRule>
    <cfRule type="cellIs" priority="137" operator="greaterThan" aboveAverage="0" equalAverage="0" bottom="0" percent="0" rank="0" text="" dxfId="1">
      <formula>0</formula>
    </cfRule>
  </conditionalFormatting>
  <conditionalFormatting sqref="G42">
    <cfRule type="cellIs" priority="138" operator="lessThan" aboveAverage="0" equalAverage="0" bottom="0" percent="0" rank="0" text="" dxfId="0">
      <formula>0</formula>
    </cfRule>
    <cfRule type="cellIs" priority="139" operator="greaterThan" aboveAverage="0" equalAverage="0" bottom="0" percent="0" rank="0" text="" dxfId="1">
      <formula>0</formula>
    </cfRule>
  </conditionalFormatting>
  <conditionalFormatting sqref="H42">
    <cfRule type="cellIs" priority="140" operator="lessThan" aboveAverage="0" equalAverage="0" bottom="0" percent="0" rank="0" text="" dxfId="0">
      <formula>0</formula>
    </cfRule>
    <cfRule type="cellIs" priority="141" operator="greaterThan" aboveAverage="0" equalAverage="0" bottom="0" percent="0" rank="0" text="" dxfId="1">
      <formula>0</formula>
    </cfRule>
  </conditionalFormatting>
  <conditionalFormatting sqref="I42">
    <cfRule type="cellIs" priority="142" operator="lessThan" aboveAverage="0" equalAverage="0" bottom="0" percent="0" rank="0" text="" dxfId="0">
      <formula>0</formula>
    </cfRule>
    <cfRule type="cellIs" priority="143" operator="greaterThan" aboveAverage="0" equalAverage="0" bottom="0" percent="0" rank="0" text="" dxfId="1">
      <formula>0</formula>
    </cfRule>
  </conditionalFormatting>
  <conditionalFormatting sqref="J42">
    <cfRule type="cellIs" priority="144" operator="lessThan" aboveAverage="0" equalAverage="0" bottom="0" percent="0" rank="0" text="" dxfId="0">
      <formula>0</formula>
    </cfRule>
    <cfRule type="cellIs" priority="145" operator="greaterThan" aboveAverage="0" equalAverage="0" bottom="0" percent="0" rank="0" text="" dxfId="1">
      <formula>0</formula>
    </cfRule>
  </conditionalFormatting>
  <conditionalFormatting sqref="K42">
    <cfRule type="cellIs" priority="146" operator="lessThan" aboveAverage="0" equalAverage="0" bottom="0" percent="0" rank="0" text="" dxfId="0">
      <formula>0</formula>
    </cfRule>
    <cfRule type="cellIs" priority="147" operator="greaterThan" aboveAverage="0" equalAverage="0" bottom="0" percent="0" rank="0" text="" dxfId="1">
      <formula>0</formula>
    </cfRule>
  </conditionalFormatting>
  <conditionalFormatting sqref="L42">
    <cfRule type="cellIs" priority="148" operator="lessThan" aboveAverage="0" equalAverage="0" bottom="0" percent="0" rank="0" text="" dxfId="0">
      <formula>0</formula>
    </cfRule>
    <cfRule type="cellIs" priority="149" operator="greaterThan" aboveAverage="0" equalAverage="0" bottom="0" percent="0" rank="0" text="" dxfId="1">
      <formula>0</formula>
    </cfRule>
  </conditionalFormatting>
  <conditionalFormatting sqref="M42">
    <cfRule type="cellIs" priority="150" operator="lessThan" aboveAverage="0" equalAverage="0" bottom="0" percent="0" rank="0" text="" dxfId="0">
      <formula>0</formula>
    </cfRule>
    <cfRule type="cellIs" priority="151" operator="greaterThan" aboveAverage="0" equalAverage="0" bottom="0" percent="0" rank="0" text="" dxfId="1">
      <formula>0</formula>
    </cfRule>
  </conditionalFormatting>
  <conditionalFormatting sqref="N42">
    <cfRule type="cellIs" priority="152" operator="lessThan" aboveAverage="0" equalAverage="0" bottom="0" percent="0" rank="0" text="" dxfId="0">
      <formula>0</formula>
    </cfRule>
    <cfRule type="cellIs" priority="153" operator="greaterThan" aboveAverage="0" equalAverage="0" bottom="0" percent="0" rank="0" text="" dxfId="1">
      <formula>0</formula>
    </cfRule>
  </conditionalFormatting>
  <conditionalFormatting sqref="O42">
    <cfRule type="cellIs" priority="154" operator="lessThan" aboveAverage="0" equalAverage="0" bottom="0" percent="0" rank="0" text="" dxfId="0">
      <formula>0</formula>
    </cfRule>
    <cfRule type="cellIs" priority="155" operator="greaterThan" aboveAverage="0" equalAverage="0" bottom="0" percent="0" rank="0" text="" dxfId="1">
      <formula>0</formula>
    </cfRule>
  </conditionalFormatting>
  <conditionalFormatting sqref="P42">
    <cfRule type="cellIs" priority="156" operator="lessThan" aboveAverage="0" equalAverage="0" bottom="0" percent="0" rank="0" text="" dxfId="0">
      <formula>0</formula>
    </cfRule>
    <cfRule type="cellIs" priority="157" operator="greaterThan" aboveAverage="0" equalAverage="0" bottom="0" percent="0" rank="0" text="" dxfId="1">
      <formula>0</formula>
    </cfRule>
  </conditionalFormatting>
  <conditionalFormatting sqref="D43">
    <cfRule type="expression" priority="158" aboveAverage="0" equalAverage="0" bottom="0" percent="0" rank="0" text="" dxfId="0">
      <formula>D43&lt;B3</formula>
    </cfRule>
    <cfRule type="expression" priority="159" aboveAverage="0" equalAverage="0" bottom="0" percent="0" rank="0" text="" dxfId="2">
      <formula>AND(D43&gt;=B3,D43&lt;B3*1.2)</formula>
    </cfRule>
    <cfRule type="expression" priority="160" aboveAverage="0" equalAverage="0" bottom="0" percent="0" rank="0" text="" dxfId="1">
      <formula>D43&gt;=B3*1.2</formula>
    </cfRule>
  </conditionalFormatting>
  <conditionalFormatting sqref="E43">
    <cfRule type="expression" priority="161" aboveAverage="0" equalAverage="0" bottom="0" percent="0" rank="0" text="" dxfId="0">
      <formula>E43&lt;B3</formula>
    </cfRule>
    <cfRule type="expression" priority="162" aboveAverage="0" equalAverage="0" bottom="0" percent="0" rank="0" text="" dxfId="2">
      <formula>AND(E43&gt;=B3,E43&lt;B3*1.2)</formula>
    </cfRule>
    <cfRule type="expression" priority="163" aboveAverage="0" equalAverage="0" bottom="0" percent="0" rank="0" text="" dxfId="1">
      <formula>E43&gt;=B3*1.2</formula>
    </cfRule>
  </conditionalFormatting>
  <conditionalFormatting sqref="F43">
    <cfRule type="expression" priority="164" aboveAverage="0" equalAverage="0" bottom="0" percent="0" rank="0" text="" dxfId="0">
      <formula>F43&lt;B3</formula>
    </cfRule>
    <cfRule type="expression" priority="165" aboveAverage="0" equalAverage="0" bottom="0" percent="0" rank="0" text="" dxfId="2">
      <formula>AND(F43&gt;=B3,F43&lt;B3*1.2)</formula>
    </cfRule>
    <cfRule type="expression" priority="166" aboveAverage="0" equalAverage="0" bottom="0" percent="0" rank="0" text="" dxfId="1">
      <formula>F43&gt;=B3*1.2</formula>
    </cfRule>
  </conditionalFormatting>
  <conditionalFormatting sqref="G43">
    <cfRule type="expression" priority="167" aboveAverage="0" equalAverage="0" bottom="0" percent="0" rank="0" text="" dxfId="0">
      <formula>G43&lt;B3</formula>
    </cfRule>
    <cfRule type="expression" priority="168" aboveAverage="0" equalAverage="0" bottom="0" percent="0" rank="0" text="" dxfId="2">
      <formula>AND(G43&gt;=B3,G43&lt;B3*1.2)</formula>
    </cfRule>
    <cfRule type="expression" priority="169" aboveAverage="0" equalAverage="0" bottom="0" percent="0" rank="0" text="" dxfId="1">
      <formula>G43&gt;=B3*1.2</formula>
    </cfRule>
  </conditionalFormatting>
  <conditionalFormatting sqref="H43">
    <cfRule type="expression" priority="170" aboveAverage="0" equalAverage="0" bottom="0" percent="0" rank="0" text="" dxfId="0">
      <formula>H43&lt;B3</formula>
    </cfRule>
    <cfRule type="expression" priority="171" aboveAverage="0" equalAverage="0" bottom="0" percent="0" rank="0" text="" dxfId="2">
      <formula>AND(H43&gt;=B3,H43&lt;B3*1.2)</formula>
    </cfRule>
    <cfRule type="expression" priority="172" aboveAverage="0" equalAverage="0" bottom="0" percent="0" rank="0" text="" dxfId="1">
      <formula>H43&gt;=B3*1.2</formula>
    </cfRule>
  </conditionalFormatting>
  <conditionalFormatting sqref="I43">
    <cfRule type="expression" priority="173" aboveAverage="0" equalAverage="0" bottom="0" percent="0" rank="0" text="" dxfId="0">
      <formula>I43&lt;B3</formula>
    </cfRule>
    <cfRule type="expression" priority="174" aboveAverage="0" equalAverage="0" bottom="0" percent="0" rank="0" text="" dxfId="2">
      <formula>AND(I43&gt;=B3,I43&lt;B3*1.2)</formula>
    </cfRule>
    <cfRule type="expression" priority="175" aboveAverage="0" equalAverage="0" bottom="0" percent="0" rank="0" text="" dxfId="1">
      <formula>I43&gt;=B3*1.2</formula>
    </cfRule>
  </conditionalFormatting>
  <conditionalFormatting sqref="J43">
    <cfRule type="expression" priority="176" aboveAverage="0" equalAverage="0" bottom="0" percent="0" rank="0" text="" dxfId="0">
      <formula>J43&lt;B3</formula>
    </cfRule>
    <cfRule type="expression" priority="177" aboveAverage="0" equalAverage="0" bottom="0" percent="0" rank="0" text="" dxfId="2">
      <formula>AND(J43&gt;=B3,J43&lt;B3*1.2)</formula>
    </cfRule>
    <cfRule type="expression" priority="178" aboveAverage="0" equalAverage="0" bottom="0" percent="0" rank="0" text="" dxfId="1">
      <formula>J43&gt;=B3*1.2</formula>
    </cfRule>
  </conditionalFormatting>
  <conditionalFormatting sqref="K43">
    <cfRule type="expression" priority="179" aboveAverage="0" equalAverage="0" bottom="0" percent="0" rank="0" text="" dxfId="0">
      <formula>K43&lt;B3</formula>
    </cfRule>
    <cfRule type="expression" priority="180" aboveAverage="0" equalAverage="0" bottom="0" percent="0" rank="0" text="" dxfId="2">
      <formula>AND(K43&gt;=B3,K43&lt;B3*1.2)</formula>
    </cfRule>
    <cfRule type="expression" priority="181" aboveAverage="0" equalAverage="0" bottom="0" percent="0" rank="0" text="" dxfId="1">
      <formula>K43&gt;=B3*1.2</formula>
    </cfRule>
  </conditionalFormatting>
  <conditionalFormatting sqref="L43">
    <cfRule type="expression" priority="182" aboveAverage="0" equalAverage="0" bottom="0" percent="0" rank="0" text="" dxfId="0">
      <formula>L43&lt;B3</formula>
    </cfRule>
    <cfRule type="expression" priority="183" aboveAverage="0" equalAverage="0" bottom="0" percent="0" rank="0" text="" dxfId="2">
      <formula>AND(L43&gt;=B3,L43&lt;B3*1.2)</formula>
    </cfRule>
    <cfRule type="expression" priority="184" aboveAverage="0" equalAverage="0" bottom="0" percent="0" rank="0" text="" dxfId="1">
      <formula>L43&gt;=B3*1.2</formula>
    </cfRule>
  </conditionalFormatting>
  <conditionalFormatting sqref="M43">
    <cfRule type="expression" priority="185" aboveAverage="0" equalAverage="0" bottom="0" percent="0" rank="0" text="" dxfId="0">
      <formula>M43&lt;B3</formula>
    </cfRule>
    <cfRule type="expression" priority="186" aboveAverage="0" equalAverage="0" bottom="0" percent="0" rank="0" text="" dxfId="2">
      <formula>AND(M43&gt;=B3,M43&lt;B3*1.2)</formula>
    </cfRule>
    <cfRule type="expression" priority="187" aboveAverage="0" equalAverage="0" bottom="0" percent="0" rank="0" text="" dxfId="1">
      <formula>M43&gt;=B3*1.2</formula>
    </cfRule>
  </conditionalFormatting>
  <conditionalFormatting sqref="N43">
    <cfRule type="expression" priority="188" aboveAverage="0" equalAverage="0" bottom="0" percent="0" rank="0" text="" dxfId="0">
      <formula>N43&lt;B3</formula>
    </cfRule>
    <cfRule type="expression" priority="189" aboveAverage="0" equalAverage="0" bottom="0" percent="0" rank="0" text="" dxfId="2">
      <formula>AND(N43&gt;=B3,N43&lt;B3*1.2)</formula>
    </cfRule>
    <cfRule type="expression" priority="190" aboveAverage="0" equalAverage="0" bottom="0" percent="0" rank="0" text="" dxfId="1">
      <formula>N43&gt;=B3*1.2</formula>
    </cfRule>
  </conditionalFormatting>
  <conditionalFormatting sqref="O43">
    <cfRule type="expression" priority="191" aboveAverage="0" equalAverage="0" bottom="0" percent="0" rank="0" text="" dxfId="0">
      <formula>O43&lt;B3</formula>
    </cfRule>
    <cfRule type="expression" priority="192" aboveAverage="0" equalAverage="0" bottom="0" percent="0" rank="0" text="" dxfId="2">
      <formula>AND(O43&gt;=B3,O43&lt;B3*1.2)</formula>
    </cfRule>
    <cfRule type="expression" priority="193" aboveAverage="0" equalAverage="0" bottom="0" percent="0" rank="0" text="" dxfId="1">
      <formula>O43&gt;=B3*1.2</formula>
    </cfRule>
  </conditionalFormatting>
  <conditionalFormatting sqref="P43">
    <cfRule type="expression" priority="194" aboveAverage="0" equalAverage="0" bottom="0" percent="0" rank="0" text="" dxfId="0">
      <formula>P43&lt;B3</formula>
    </cfRule>
    <cfRule type="expression" priority="195" aboveAverage="0" equalAverage="0" bottom="0" percent="0" rank="0" text="" dxfId="2">
      <formula>AND(P43&gt;=B3,P43&lt;B3*1.2)</formula>
    </cfRule>
    <cfRule type="expression" priority="196" aboveAverage="0" equalAverage="0" bottom="0" percent="0" rank="0" text="" dxfId="1">
      <formula>P43&gt;=B3*1.2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
    <col collapsed="false" customWidth="true" hidden="false" outlineLevel="0" max="3" min="3" style="0" width="30"/>
    <col collapsed="false" customWidth="true" hidden="false" outlineLevel="0" max="16" min="4" style="0" width="13"/>
  </cols>
  <sheetData>
    <row r="1" customFormat="false" ht="36" hidden="false" customHeight="true" outlineLevel="0" collapsed="false">
      <c r="A1" s="1" t="s">
        <v>47</v>
      </c>
      <c r="B1" s="1"/>
      <c r="C1" s="1"/>
      <c r="D1" s="1"/>
      <c r="E1" s="1"/>
      <c r="F1" s="1"/>
      <c r="G1" s="1"/>
      <c r="H1" s="1"/>
      <c r="I1" s="1"/>
      <c r="J1" s="1"/>
      <c r="K1" s="1"/>
      <c r="L1" s="1"/>
      <c r="M1" s="1"/>
      <c r="N1" s="1"/>
      <c r="O1" s="1"/>
      <c r="P1" s="1"/>
    </row>
    <row r="2" customFormat="false" ht="19.5" hidden="false" customHeight="true" outlineLevel="0" collapsed="false">
      <c r="A2" s="2" t="s">
        <v>48</v>
      </c>
      <c r="B2" s="3"/>
      <c r="D2" s="2" t="s">
        <v>49</v>
      </c>
      <c r="E2" s="3"/>
      <c r="G2" s="2" t="s">
        <v>50</v>
      </c>
      <c r="H2" s="3"/>
      <c r="J2" s="2" t="s">
        <v>4</v>
      </c>
      <c r="K2" s="3"/>
    </row>
    <row r="3" customFormat="false" ht="21.75" hidden="false" customHeight="true" outlineLevel="0" collapsed="false">
      <c r="A3" s="38" t="s">
        <v>51</v>
      </c>
      <c r="B3" s="5" t="n">
        <v>0</v>
      </c>
      <c r="E3" s="4" t="s">
        <v>52</v>
      </c>
      <c r="F3" s="5" t="n">
        <v>5000</v>
      </c>
      <c r="G3" s="6" t="s">
        <v>53</v>
      </c>
      <c r="H3" s="6"/>
      <c r="I3" s="6"/>
      <c r="J3" s="6"/>
      <c r="K3" s="6"/>
      <c r="L3" s="6"/>
      <c r="M3" s="6"/>
      <c r="N3" s="6"/>
      <c r="O3" s="6"/>
      <c r="P3" s="6"/>
    </row>
    <row r="5" customFormat="false" ht="18" hidden="false" customHeight="true" outlineLevel="0" collapsed="false">
      <c r="A5" s="7" t="s">
        <v>54</v>
      </c>
      <c r="B5" s="7"/>
      <c r="C5" s="8" t="s">
        <v>55</v>
      </c>
      <c r="D5" s="9" t="s">
        <v>56</v>
      </c>
      <c r="E5" s="9" t="s">
        <v>57</v>
      </c>
      <c r="F5" s="9" t="s">
        <v>58</v>
      </c>
      <c r="G5" s="9" t="s">
        <v>59</v>
      </c>
      <c r="H5" s="9" t="s">
        <v>60</v>
      </c>
      <c r="I5" s="9" t="s">
        <v>61</v>
      </c>
      <c r="J5" s="9" t="s">
        <v>62</v>
      </c>
      <c r="K5" s="9" t="s">
        <v>63</v>
      </c>
      <c r="L5" s="9" t="s">
        <v>64</v>
      </c>
      <c r="M5" s="9" t="s">
        <v>65</v>
      </c>
      <c r="N5" s="9" t="s">
        <v>66</v>
      </c>
      <c r="O5" s="9" t="s">
        <v>67</v>
      </c>
      <c r="P5" s="9" t="s">
        <v>68</v>
      </c>
    </row>
    <row r="6" customFormat="false" ht="18" hidden="false" customHeight="true" outlineLevel="0" collapsed="false">
      <c r="A6" s="10" t="s">
        <v>22</v>
      </c>
      <c r="B6" s="10"/>
      <c r="C6" s="39"/>
      <c r="D6" s="40"/>
      <c r="E6" s="40"/>
      <c r="F6" s="40"/>
      <c r="G6" s="40"/>
      <c r="H6" s="40"/>
      <c r="I6" s="40"/>
      <c r="J6" s="40"/>
      <c r="K6" s="40"/>
      <c r="L6" s="40"/>
      <c r="M6" s="40"/>
      <c r="N6" s="40"/>
      <c r="O6" s="40"/>
      <c r="P6" s="40"/>
    </row>
    <row r="7" customFormat="false" ht="3.75" hidden="false" customHeight="true" outlineLevel="0" collapsed="false"/>
    <row r="8" customFormat="false" ht="19.5" hidden="false" customHeight="true" outlineLevel="0" collapsed="false">
      <c r="A8" s="27" t="s">
        <v>69</v>
      </c>
      <c r="B8" s="27"/>
      <c r="C8" s="27"/>
      <c r="D8" s="27"/>
      <c r="E8" s="27"/>
      <c r="F8" s="27"/>
      <c r="G8" s="27"/>
      <c r="H8" s="27"/>
      <c r="I8" s="27"/>
      <c r="J8" s="27"/>
      <c r="K8" s="27"/>
      <c r="L8" s="27"/>
      <c r="M8" s="27"/>
      <c r="N8" s="27"/>
      <c r="O8" s="27"/>
      <c r="P8" s="27"/>
    </row>
    <row r="9" customFormat="false" ht="18" hidden="false" customHeight="true" outlineLevel="0" collapsed="false">
      <c r="A9" s="41" t="s">
        <v>70</v>
      </c>
      <c r="B9" s="41"/>
      <c r="C9" s="42" t="s">
        <v>71</v>
      </c>
      <c r="D9" s="43"/>
      <c r="E9" s="43"/>
      <c r="F9" s="43"/>
      <c r="G9" s="43"/>
      <c r="H9" s="43"/>
      <c r="I9" s="43"/>
      <c r="J9" s="43"/>
      <c r="K9" s="43"/>
      <c r="L9" s="43"/>
      <c r="M9" s="43"/>
      <c r="N9" s="43"/>
      <c r="O9" s="43"/>
      <c r="P9" s="43"/>
    </row>
    <row r="10" customFormat="false" ht="18" hidden="false" customHeight="true" outlineLevel="0" collapsed="false">
      <c r="A10" s="44" t="s">
        <v>72</v>
      </c>
      <c r="B10" s="44"/>
      <c r="C10" s="42" t="s">
        <v>73</v>
      </c>
      <c r="D10" s="45"/>
      <c r="E10" s="45"/>
      <c r="F10" s="45"/>
      <c r="G10" s="45"/>
      <c r="H10" s="45"/>
      <c r="I10" s="45"/>
      <c r="J10" s="45"/>
      <c r="K10" s="45"/>
      <c r="L10" s="45"/>
      <c r="M10" s="45"/>
      <c r="N10" s="45"/>
      <c r="O10" s="45"/>
      <c r="P10" s="45"/>
    </row>
    <row r="11" customFormat="false" ht="18" hidden="false" customHeight="true" outlineLevel="0" collapsed="false">
      <c r="A11" s="41" t="s">
        <v>74</v>
      </c>
      <c r="B11" s="41"/>
      <c r="C11" s="42" t="s">
        <v>75</v>
      </c>
      <c r="D11" s="43"/>
      <c r="E11" s="43"/>
      <c r="F11" s="43"/>
      <c r="G11" s="43"/>
      <c r="H11" s="43"/>
      <c r="I11" s="43"/>
      <c r="J11" s="43"/>
      <c r="K11" s="43"/>
      <c r="L11" s="43"/>
      <c r="M11" s="43"/>
      <c r="N11" s="43"/>
      <c r="O11" s="43"/>
      <c r="P11" s="43"/>
    </row>
    <row r="12" customFormat="false" ht="18" hidden="false" customHeight="true" outlineLevel="0" collapsed="false">
      <c r="A12" s="44" t="s">
        <v>76</v>
      </c>
      <c r="B12" s="44"/>
      <c r="C12" s="42" t="s">
        <v>77</v>
      </c>
      <c r="D12" s="45"/>
      <c r="E12" s="45"/>
      <c r="F12" s="45"/>
      <c r="G12" s="45"/>
      <c r="H12" s="45"/>
      <c r="I12" s="45"/>
      <c r="J12" s="45"/>
      <c r="K12" s="45"/>
      <c r="L12" s="45"/>
      <c r="M12" s="45"/>
      <c r="N12" s="45"/>
      <c r="O12" s="45"/>
      <c r="P12" s="45"/>
    </row>
    <row r="13" customFormat="false" ht="19.5" hidden="false" customHeight="true" outlineLevel="0" collapsed="false">
      <c r="A13" s="27" t="s">
        <v>78</v>
      </c>
      <c r="B13" s="27"/>
      <c r="C13" s="46"/>
      <c r="D13" s="28" t="n">
        <f aca="false">SUM(D9:D12)</f>
        <v>0</v>
      </c>
      <c r="E13" s="28" t="n">
        <f aca="false">SUM(E9:E12)</f>
        <v>0</v>
      </c>
      <c r="F13" s="28" t="n">
        <f aca="false">SUM(F9:F12)</f>
        <v>0</v>
      </c>
      <c r="G13" s="28" t="n">
        <f aca="false">SUM(G9:G12)</f>
        <v>0</v>
      </c>
      <c r="H13" s="28" t="n">
        <f aca="false">SUM(H9:H12)</f>
        <v>0</v>
      </c>
      <c r="I13" s="28" t="n">
        <f aca="false">SUM(I9:I12)</f>
        <v>0</v>
      </c>
      <c r="J13" s="28" t="n">
        <f aca="false">SUM(J9:J12)</f>
        <v>0</v>
      </c>
      <c r="K13" s="28" t="n">
        <f aca="false">SUM(K9:K12)</f>
        <v>0</v>
      </c>
      <c r="L13" s="28" t="n">
        <f aca="false">SUM(L9:L12)</f>
        <v>0</v>
      </c>
      <c r="M13" s="28" t="n">
        <f aca="false">SUM(M9:M12)</f>
        <v>0</v>
      </c>
      <c r="N13" s="28" t="n">
        <f aca="false">SUM(N9:N12)</f>
        <v>0</v>
      </c>
      <c r="O13" s="28" t="n">
        <f aca="false">SUM(O9:O12)</f>
        <v>0</v>
      </c>
      <c r="P13" s="28" t="n">
        <f aca="false">SUM(P9:P12)</f>
        <v>0</v>
      </c>
    </row>
    <row r="14" customFormat="false" ht="3.75" hidden="false" customHeight="true" outlineLevel="0" collapsed="false"/>
    <row r="15" customFormat="false" ht="19.5" hidden="false" customHeight="true" outlineLevel="0" collapsed="false">
      <c r="A15" s="29" t="s">
        <v>79</v>
      </c>
      <c r="B15" s="29"/>
      <c r="C15" s="29"/>
      <c r="D15" s="29"/>
      <c r="E15" s="29"/>
      <c r="F15" s="29"/>
      <c r="G15" s="29"/>
      <c r="H15" s="29"/>
      <c r="I15" s="29"/>
      <c r="J15" s="29"/>
      <c r="K15" s="29"/>
      <c r="L15" s="29"/>
      <c r="M15" s="29"/>
      <c r="N15" s="29"/>
      <c r="O15" s="29"/>
      <c r="P15" s="29"/>
    </row>
    <row r="16" customFormat="false" ht="18" hidden="false" customHeight="true" outlineLevel="0" collapsed="false">
      <c r="A16" s="44" t="s">
        <v>80</v>
      </c>
      <c r="B16" s="44"/>
      <c r="C16" s="42" t="s">
        <v>81</v>
      </c>
      <c r="D16" s="45"/>
      <c r="E16" s="45"/>
      <c r="F16" s="45"/>
      <c r="G16" s="45"/>
      <c r="H16" s="45"/>
      <c r="I16" s="45"/>
      <c r="J16" s="45"/>
      <c r="K16" s="45"/>
      <c r="L16" s="45"/>
      <c r="M16" s="45"/>
      <c r="N16" s="45"/>
      <c r="O16" s="45"/>
      <c r="P16" s="45"/>
    </row>
    <row r="17" customFormat="false" ht="18" hidden="false" customHeight="true" outlineLevel="0" collapsed="false">
      <c r="A17" s="18" t="s">
        <v>82</v>
      </c>
      <c r="B17" s="18"/>
      <c r="C17" s="42" t="s">
        <v>83</v>
      </c>
      <c r="D17" s="47"/>
      <c r="E17" s="47"/>
      <c r="F17" s="47"/>
      <c r="G17" s="47"/>
      <c r="H17" s="47"/>
      <c r="I17" s="47"/>
      <c r="J17" s="47"/>
      <c r="K17" s="47"/>
      <c r="L17" s="47"/>
      <c r="M17" s="47"/>
      <c r="N17" s="47"/>
      <c r="O17" s="47"/>
      <c r="P17" s="47"/>
    </row>
    <row r="18" customFormat="false" ht="18" hidden="false" customHeight="true" outlineLevel="0" collapsed="false">
      <c r="A18" s="44" t="s">
        <v>84</v>
      </c>
      <c r="B18" s="44"/>
      <c r="C18" s="42" t="s">
        <v>85</v>
      </c>
      <c r="D18" s="45"/>
      <c r="E18" s="45"/>
      <c r="F18" s="45"/>
      <c r="G18" s="45"/>
      <c r="H18" s="45"/>
      <c r="I18" s="45"/>
      <c r="J18" s="45"/>
      <c r="K18" s="45"/>
      <c r="L18" s="45"/>
      <c r="M18" s="45"/>
      <c r="N18" s="45"/>
      <c r="O18" s="45"/>
      <c r="P18" s="45"/>
    </row>
    <row r="19" customFormat="false" ht="18" hidden="false" customHeight="true" outlineLevel="0" collapsed="false">
      <c r="A19" s="18" t="s">
        <v>86</v>
      </c>
      <c r="B19" s="18"/>
      <c r="C19" s="42" t="s">
        <v>87</v>
      </c>
      <c r="D19" s="47"/>
      <c r="E19" s="47"/>
      <c r="F19" s="47"/>
      <c r="G19" s="47"/>
      <c r="H19" s="47"/>
      <c r="I19" s="47"/>
      <c r="J19" s="47"/>
      <c r="K19" s="47"/>
      <c r="L19" s="47"/>
      <c r="M19" s="47"/>
      <c r="N19" s="47"/>
      <c r="O19" s="47"/>
      <c r="P19" s="47"/>
    </row>
    <row r="20" customFormat="false" ht="18" hidden="false" customHeight="true" outlineLevel="0" collapsed="false">
      <c r="A20" s="44" t="s">
        <v>88</v>
      </c>
      <c r="B20" s="44"/>
      <c r="C20" s="42" t="s">
        <v>89</v>
      </c>
      <c r="D20" s="45"/>
      <c r="E20" s="45"/>
      <c r="F20" s="45"/>
      <c r="G20" s="45"/>
      <c r="H20" s="45"/>
      <c r="I20" s="45"/>
      <c r="J20" s="45"/>
      <c r="K20" s="45"/>
      <c r="L20" s="45"/>
      <c r="M20" s="45"/>
      <c r="N20" s="45"/>
      <c r="O20" s="45"/>
      <c r="P20" s="45"/>
    </row>
    <row r="21" customFormat="false" ht="18" hidden="false" customHeight="true" outlineLevel="0" collapsed="false">
      <c r="A21" s="18" t="s">
        <v>90</v>
      </c>
      <c r="B21" s="18"/>
      <c r="C21" s="42" t="s">
        <v>91</v>
      </c>
      <c r="D21" s="47"/>
      <c r="E21" s="47"/>
      <c r="F21" s="47"/>
      <c r="G21" s="47"/>
      <c r="H21" s="47"/>
      <c r="I21" s="47"/>
      <c r="J21" s="47"/>
      <c r="K21" s="47"/>
      <c r="L21" s="47"/>
      <c r="M21" s="47"/>
      <c r="N21" s="47"/>
      <c r="O21" s="47"/>
      <c r="P21" s="47"/>
    </row>
    <row r="22" customFormat="false" ht="18" hidden="false" customHeight="true" outlineLevel="0" collapsed="false">
      <c r="A22" s="44" t="s">
        <v>92</v>
      </c>
      <c r="B22" s="44"/>
      <c r="C22" s="42" t="s">
        <v>93</v>
      </c>
      <c r="D22" s="45"/>
      <c r="E22" s="45"/>
      <c r="F22" s="45"/>
      <c r="G22" s="45"/>
      <c r="H22" s="45"/>
      <c r="I22" s="45"/>
      <c r="J22" s="45"/>
      <c r="K22" s="45"/>
      <c r="L22" s="45"/>
      <c r="M22" s="45"/>
      <c r="N22" s="45"/>
      <c r="O22" s="45"/>
      <c r="P22" s="45"/>
    </row>
    <row r="23" customFormat="false" ht="18" hidden="false" customHeight="true" outlineLevel="0" collapsed="false">
      <c r="A23" s="18" t="s">
        <v>94</v>
      </c>
      <c r="B23" s="18"/>
      <c r="C23" s="42" t="s">
        <v>95</v>
      </c>
      <c r="D23" s="47"/>
      <c r="E23" s="47"/>
      <c r="F23" s="47"/>
      <c r="G23" s="47"/>
      <c r="H23" s="47"/>
      <c r="I23" s="47"/>
      <c r="J23" s="47"/>
      <c r="K23" s="47"/>
      <c r="L23" s="47"/>
      <c r="M23" s="47"/>
      <c r="N23" s="47"/>
      <c r="O23" s="47"/>
      <c r="P23" s="47"/>
    </row>
    <row r="24" customFormat="false" ht="19.5" hidden="false" customHeight="true" outlineLevel="0" collapsed="false">
      <c r="A24" s="29" t="s">
        <v>96</v>
      </c>
      <c r="B24" s="29"/>
      <c r="C24" s="48"/>
      <c r="D24" s="30" t="n">
        <f aca="false">SUM(D16:D23)</f>
        <v>0</v>
      </c>
      <c r="E24" s="30" t="n">
        <f aca="false">SUM(E16:E23)</f>
        <v>0</v>
      </c>
      <c r="F24" s="30" t="n">
        <f aca="false">SUM(F16:F23)</f>
        <v>0</v>
      </c>
      <c r="G24" s="30" t="n">
        <f aca="false">SUM(G16:G23)</f>
        <v>0</v>
      </c>
      <c r="H24" s="30" t="n">
        <f aca="false">SUM(H16:H23)</f>
        <v>0</v>
      </c>
      <c r="I24" s="30" t="n">
        <f aca="false">SUM(I16:I23)</f>
        <v>0</v>
      </c>
      <c r="J24" s="30" t="n">
        <f aca="false">SUM(J16:J23)</f>
        <v>0</v>
      </c>
      <c r="K24" s="30" t="n">
        <f aca="false">SUM(K16:K23)</f>
        <v>0</v>
      </c>
      <c r="L24" s="30" t="n">
        <f aca="false">SUM(L16:L23)</f>
        <v>0</v>
      </c>
      <c r="M24" s="30" t="n">
        <f aca="false">SUM(M16:M23)</f>
        <v>0</v>
      </c>
      <c r="N24" s="30" t="n">
        <f aca="false">SUM(N16:N23)</f>
        <v>0</v>
      </c>
      <c r="O24" s="30" t="n">
        <f aca="false">SUM(O16:O23)</f>
        <v>0</v>
      </c>
      <c r="P24" s="30" t="n">
        <f aca="false">SUM(P16:P23)</f>
        <v>0</v>
      </c>
    </row>
    <row r="25" customFormat="false" ht="3.75" hidden="false" customHeight="true" outlineLevel="0" collapsed="false"/>
    <row r="26" customFormat="false" ht="19.5" hidden="false" customHeight="true" outlineLevel="0" collapsed="false">
      <c r="A26" s="13" t="s">
        <v>97</v>
      </c>
      <c r="B26" s="13"/>
      <c r="C26" s="49"/>
      <c r="D26" s="22" t="n">
        <f aca="false">D13-D24</f>
        <v>0</v>
      </c>
      <c r="E26" s="22" t="n">
        <f aca="false">E13-E24</f>
        <v>0</v>
      </c>
      <c r="F26" s="22" t="n">
        <f aca="false">F13-F24</f>
        <v>0</v>
      </c>
      <c r="G26" s="22" t="n">
        <f aca="false">G13-G24</f>
        <v>0</v>
      </c>
      <c r="H26" s="22" t="n">
        <f aca="false">H13-H24</f>
        <v>0</v>
      </c>
      <c r="I26" s="22" t="n">
        <f aca="false">I13-I24</f>
        <v>0</v>
      </c>
      <c r="J26" s="22" t="n">
        <f aca="false">J13-J24</f>
        <v>0</v>
      </c>
      <c r="K26" s="22" t="n">
        <f aca="false">K13-K24</f>
        <v>0</v>
      </c>
      <c r="L26" s="22" t="n">
        <f aca="false">L13-L24</f>
        <v>0</v>
      </c>
      <c r="M26" s="22" t="n">
        <f aca="false">M13-M24</f>
        <v>0</v>
      </c>
      <c r="N26" s="22" t="n">
        <f aca="false">N13-N24</f>
        <v>0</v>
      </c>
      <c r="O26" s="22" t="n">
        <f aca="false">O13-O24</f>
        <v>0</v>
      </c>
      <c r="P26" s="22" t="n">
        <f aca="false">P13-P24</f>
        <v>0</v>
      </c>
    </row>
    <row r="27" customFormat="false" ht="19.5" hidden="false" customHeight="true" outlineLevel="0" collapsed="false">
      <c r="A27" s="14" t="s">
        <v>98</v>
      </c>
      <c r="B27" s="14"/>
      <c r="C27" s="50"/>
      <c r="D27" s="31" t="n">
        <f aca="false">B3+D26</f>
        <v>0</v>
      </c>
      <c r="E27" s="31" t="n">
        <f aca="false">D27+E26</f>
        <v>0</v>
      </c>
      <c r="F27" s="31" t="n">
        <f aca="false">E27+F26</f>
        <v>0</v>
      </c>
      <c r="G27" s="31" t="n">
        <f aca="false">F27+G26</f>
        <v>0</v>
      </c>
      <c r="H27" s="31" t="n">
        <f aca="false">G27+H26</f>
        <v>0</v>
      </c>
      <c r="I27" s="31" t="n">
        <f aca="false">H27+I26</f>
        <v>0</v>
      </c>
      <c r="J27" s="31" t="n">
        <f aca="false">I27+J26</f>
        <v>0</v>
      </c>
      <c r="K27" s="31" t="n">
        <f aca="false">J27+K26</f>
        <v>0</v>
      </c>
      <c r="L27" s="31" t="n">
        <f aca="false">K27+L26</f>
        <v>0</v>
      </c>
      <c r="M27" s="31" t="n">
        <f aca="false">L27+M26</f>
        <v>0</v>
      </c>
      <c r="N27" s="31" t="n">
        <f aca="false">M27+N26</f>
        <v>0</v>
      </c>
      <c r="O27" s="31" t="n">
        <f aca="false">N27+O26</f>
        <v>0</v>
      </c>
      <c r="P27" s="31" t="n">
        <f aca="false">O27+P26</f>
        <v>0</v>
      </c>
    </row>
    <row r="28" customFormat="false" ht="18" hidden="false" customHeight="true" outlineLevel="0" collapsed="false">
      <c r="A28" s="32" t="s">
        <v>99</v>
      </c>
      <c r="B28" s="32"/>
      <c r="C28" s="32"/>
      <c r="D28" s="32"/>
      <c r="E28" s="32"/>
      <c r="F28" s="32"/>
      <c r="G28" s="32"/>
      <c r="H28" s="32"/>
      <c r="I28" s="32"/>
      <c r="J28" s="32"/>
      <c r="K28" s="32"/>
      <c r="L28" s="32"/>
      <c r="M28" s="32"/>
      <c r="N28" s="32"/>
      <c r="O28" s="32"/>
      <c r="P28" s="32"/>
    </row>
    <row r="29" customFormat="false" ht="6" hidden="false" customHeight="true" outlineLevel="0" collapsed="false"/>
    <row r="30" customFormat="false" ht="19.5" hidden="false" customHeight="true" outlineLevel="0" collapsed="false">
      <c r="A30" s="13" t="s">
        <v>100</v>
      </c>
      <c r="B30" s="13"/>
      <c r="C30" s="13"/>
      <c r="D30" s="13"/>
      <c r="E30" s="13"/>
      <c r="F30" s="13"/>
      <c r="G30" s="13"/>
      <c r="H30" s="13"/>
      <c r="I30" s="13"/>
      <c r="J30" s="13"/>
      <c r="K30" s="13"/>
      <c r="L30" s="13"/>
      <c r="M30" s="13"/>
      <c r="N30" s="13"/>
      <c r="O30" s="13"/>
      <c r="P30" s="13"/>
    </row>
    <row r="31" customFormat="false" ht="18" hidden="false" customHeight="true" outlineLevel="0" collapsed="false">
      <c r="A31" s="33" t="s">
        <v>101</v>
      </c>
      <c r="B31" s="33"/>
      <c r="C31" s="33"/>
      <c r="D31" s="33"/>
      <c r="E31" s="34" t="n">
        <f aca="false">B3</f>
        <v>0</v>
      </c>
    </row>
    <row r="32" customFormat="false" ht="18" hidden="false" customHeight="true" outlineLevel="0" collapsed="false">
      <c r="A32" s="35" t="s">
        <v>102</v>
      </c>
      <c r="B32" s="35"/>
      <c r="C32" s="35"/>
      <c r="D32" s="35"/>
      <c r="E32" s="34" t="n">
        <f aca="false">SUM(D13:P13)</f>
        <v>0</v>
      </c>
    </row>
    <row r="33" customFormat="false" ht="18" hidden="false" customHeight="true" outlineLevel="0" collapsed="false">
      <c r="A33" s="33" t="s">
        <v>103</v>
      </c>
      <c r="B33" s="33"/>
      <c r="C33" s="33"/>
      <c r="D33" s="33"/>
      <c r="E33" s="34" t="n">
        <f aca="false">SUM(D24:P24)</f>
        <v>0</v>
      </c>
    </row>
    <row r="34" customFormat="false" ht="18" hidden="false" customHeight="true" outlineLevel="0" collapsed="false">
      <c r="A34" s="35" t="s">
        <v>104</v>
      </c>
      <c r="B34" s="35"/>
      <c r="C34" s="35"/>
      <c r="D34" s="35"/>
      <c r="E34" s="34" t="n">
        <f aca="false">SUM(D26:P26)</f>
        <v>0</v>
      </c>
    </row>
    <row r="35" customFormat="false" ht="18" hidden="false" customHeight="true" outlineLevel="0" collapsed="false">
      <c r="A35" s="33" t="s">
        <v>105</v>
      </c>
      <c r="B35" s="33"/>
      <c r="C35" s="33"/>
      <c r="D35" s="33"/>
      <c r="E35" s="34" t="n">
        <f aca="false">P27</f>
        <v>0</v>
      </c>
    </row>
    <row r="36" customFormat="false" ht="18" hidden="false" customHeight="true" outlineLevel="0" collapsed="false">
      <c r="A36" s="35" t="s">
        <v>106</v>
      </c>
      <c r="B36" s="35"/>
      <c r="C36" s="35"/>
      <c r="D36" s="35"/>
      <c r="E36" s="34" t="n">
        <f aca="false">MIN(D27:P27)</f>
        <v>0</v>
      </c>
    </row>
    <row r="37" customFormat="false" ht="18" hidden="false" customHeight="true" outlineLevel="0" collapsed="false">
      <c r="A37" s="33" t="s">
        <v>107</v>
      </c>
      <c r="B37" s="33"/>
      <c r="C37" s="33"/>
      <c r="D37" s="33"/>
      <c r="E37" s="34" t="n">
        <f aca="false">MAX(D27:P27)</f>
        <v>0</v>
      </c>
    </row>
    <row r="38" customFormat="false" ht="18" hidden="false" customHeight="true" outlineLevel="0" collapsed="false">
      <c r="A38" s="35" t="s">
        <v>108</v>
      </c>
      <c r="B38" s="35"/>
      <c r="C38" s="35"/>
      <c r="D38" s="35"/>
      <c r="E38" s="36" t="n">
        <f aca="false">COUNTIF(D27:P27,"&lt;"&amp;F3)</f>
        <v>13</v>
      </c>
    </row>
    <row r="39" customFormat="false" ht="18" hidden="false" customHeight="true" outlineLevel="0" collapsed="false">
      <c r="A39" s="33" t="s">
        <v>109</v>
      </c>
      <c r="B39" s="33"/>
      <c r="C39" s="33"/>
      <c r="D39" s="33"/>
      <c r="E39" s="34" t="n">
        <f aca="false">SUM(D9:P9)</f>
        <v>0</v>
      </c>
    </row>
    <row r="40" customFormat="false" ht="18" hidden="false" customHeight="true" outlineLevel="0" collapsed="false">
      <c r="A40" s="35" t="s">
        <v>110</v>
      </c>
      <c r="B40" s="35"/>
      <c r="C40" s="35"/>
      <c r="D40" s="35"/>
      <c r="E40" s="34" t="n">
        <f aca="false">SUM(D10:P10)</f>
        <v>0</v>
      </c>
    </row>
    <row r="41" customFormat="false" ht="18" hidden="false" customHeight="true" outlineLevel="0" collapsed="false">
      <c r="A41" s="33" t="s">
        <v>111</v>
      </c>
      <c r="B41" s="33"/>
      <c r="C41" s="33"/>
      <c r="D41" s="33"/>
      <c r="E41" s="34" t="n">
        <f aca="false">SUM(D16:P16)</f>
        <v>0</v>
      </c>
    </row>
    <row r="42" customFormat="false" ht="18" hidden="false" customHeight="true" outlineLevel="0" collapsed="false">
      <c r="A42" s="35" t="s">
        <v>112</v>
      </c>
      <c r="B42" s="35"/>
      <c r="C42" s="35"/>
      <c r="D42" s="35"/>
      <c r="E42" s="34" t="n">
        <f aca="false">SUM(D17:P17)</f>
        <v>0</v>
      </c>
    </row>
    <row r="44" customFormat="false" ht="21.75" hidden="false" customHeight="true" outlineLevel="0" collapsed="false">
      <c r="A44" s="37" t="s">
        <v>46</v>
      </c>
      <c r="B44" s="37"/>
      <c r="C44" s="37"/>
      <c r="D44" s="37"/>
      <c r="E44" s="37"/>
      <c r="F44" s="37"/>
      <c r="G44" s="37"/>
      <c r="H44" s="37"/>
      <c r="I44" s="37"/>
      <c r="J44" s="37"/>
      <c r="K44" s="37"/>
      <c r="L44" s="37"/>
      <c r="M44" s="37"/>
      <c r="N44" s="37"/>
      <c r="O44" s="37"/>
      <c r="P44" s="37"/>
    </row>
  </sheetData>
  <sheetProtection sheet="true" password="df0a"/>
  <mergeCells count="37">
    <mergeCell ref="A1:P1"/>
    <mergeCell ref="G3:P3"/>
    <mergeCell ref="A5:B5"/>
    <mergeCell ref="A6:B6"/>
    <mergeCell ref="A8:P8"/>
    <mergeCell ref="A9:B9"/>
    <mergeCell ref="A10:B10"/>
    <mergeCell ref="A11:B11"/>
    <mergeCell ref="A12:B12"/>
    <mergeCell ref="A13:B13"/>
    <mergeCell ref="A15:P15"/>
    <mergeCell ref="A16:B16"/>
    <mergeCell ref="A17:B17"/>
    <mergeCell ref="A18:B18"/>
    <mergeCell ref="A19:B19"/>
    <mergeCell ref="A20:B20"/>
    <mergeCell ref="A21:B21"/>
    <mergeCell ref="A22:B22"/>
    <mergeCell ref="A23:B23"/>
    <mergeCell ref="A24:B24"/>
    <mergeCell ref="A26:B26"/>
    <mergeCell ref="A27:B27"/>
    <mergeCell ref="A28:P28"/>
    <mergeCell ref="A30:P30"/>
    <mergeCell ref="A31:D31"/>
    <mergeCell ref="A32:D32"/>
    <mergeCell ref="A33:D33"/>
    <mergeCell ref="A34:D34"/>
    <mergeCell ref="A35:D35"/>
    <mergeCell ref="A36:D36"/>
    <mergeCell ref="A37:D37"/>
    <mergeCell ref="A38:D38"/>
    <mergeCell ref="A39:D39"/>
    <mergeCell ref="A40:D40"/>
    <mergeCell ref="A41:D41"/>
    <mergeCell ref="A42:D42"/>
    <mergeCell ref="A44:P44"/>
  </mergeCells>
  <conditionalFormatting sqref="D26">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conditionalFormatting sqref="E26">
    <cfRule type="cellIs" priority="4" operator="lessThan" aboveAverage="0" equalAverage="0" bottom="0" percent="0" rank="0" text="" dxfId="0">
      <formula>0</formula>
    </cfRule>
    <cfRule type="cellIs" priority="5" operator="greaterThan" aboveAverage="0" equalAverage="0" bottom="0" percent="0" rank="0" text="" dxfId="1">
      <formula>0</formula>
    </cfRule>
  </conditionalFormatting>
  <conditionalFormatting sqref="F26">
    <cfRule type="cellIs" priority="6" operator="lessThan" aboveAverage="0" equalAverage="0" bottom="0" percent="0" rank="0" text="" dxfId="0">
      <formula>0</formula>
    </cfRule>
    <cfRule type="cellIs" priority="7" operator="greaterThan" aboveAverage="0" equalAverage="0" bottom="0" percent="0" rank="0" text="" dxfId="1">
      <formula>0</formula>
    </cfRule>
  </conditionalFormatting>
  <conditionalFormatting sqref="G26">
    <cfRule type="cellIs" priority="8" operator="lessThan" aboveAverage="0" equalAverage="0" bottom="0" percent="0" rank="0" text="" dxfId="0">
      <formula>0</formula>
    </cfRule>
    <cfRule type="cellIs" priority="9" operator="greaterThan" aboveAverage="0" equalAverage="0" bottom="0" percent="0" rank="0" text="" dxfId="1">
      <formula>0</formula>
    </cfRule>
  </conditionalFormatting>
  <conditionalFormatting sqref="H26">
    <cfRule type="cellIs" priority="10" operator="lessThan" aboveAverage="0" equalAverage="0" bottom="0" percent="0" rank="0" text="" dxfId="0">
      <formula>0</formula>
    </cfRule>
    <cfRule type="cellIs" priority="11" operator="greaterThan" aboveAverage="0" equalAverage="0" bottom="0" percent="0" rank="0" text="" dxfId="1">
      <formula>0</formula>
    </cfRule>
  </conditionalFormatting>
  <conditionalFormatting sqref="I26">
    <cfRule type="cellIs" priority="12" operator="lessThan" aboveAverage="0" equalAverage="0" bottom="0" percent="0" rank="0" text="" dxfId="0">
      <formula>0</formula>
    </cfRule>
    <cfRule type="cellIs" priority="13" operator="greaterThan" aboveAverage="0" equalAverage="0" bottom="0" percent="0" rank="0" text="" dxfId="1">
      <formula>0</formula>
    </cfRule>
  </conditionalFormatting>
  <conditionalFormatting sqref="J26">
    <cfRule type="cellIs" priority="14" operator="lessThan" aboveAverage="0" equalAverage="0" bottom="0" percent="0" rank="0" text="" dxfId="0">
      <formula>0</formula>
    </cfRule>
    <cfRule type="cellIs" priority="15" operator="greaterThan" aboveAverage="0" equalAverage="0" bottom="0" percent="0" rank="0" text="" dxfId="1">
      <formula>0</formula>
    </cfRule>
  </conditionalFormatting>
  <conditionalFormatting sqref="K26">
    <cfRule type="cellIs" priority="16" operator="lessThan" aboveAverage="0" equalAverage="0" bottom="0" percent="0" rank="0" text="" dxfId="0">
      <formula>0</formula>
    </cfRule>
    <cfRule type="cellIs" priority="17" operator="greaterThan" aboveAverage="0" equalAverage="0" bottom="0" percent="0" rank="0" text="" dxfId="1">
      <formula>0</formula>
    </cfRule>
  </conditionalFormatting>
  <conditionalFormatting sqref="L26">
    <cfRule type="cellIs" priority="18" operator="lessThan" aboveAverage="0" equalAverage="0" bottom="0" percent="0" rank="0" text="" dxfId="0">
      <formula>0</formula>
    </cfRule>
    <cfRule type="cellIs" priority="19" operator="greaterThan" aboveAverage="0" equalAverage="0" bottom="0" percent="0" rank="0" text="" dxfId="1">
      <formula>0</formula>
    </cfRule>
  </conditionalFormatting>
  <conditionalFormatting sqref="M26">
    <cfRule type="cellIs" priority="20" operator="lessThan" aboveAverage="0" equalAverage="0" bottom="0" percent="0" rank="0" text="" dxfId="0">
      <formula>0</formula>
    </cfRule>
    <cfRule type="cellIs" priority="21" operator="greaterThan" aboveAverage="0" equalAverage="0" bottom="0" percent="0" rank="0" text="" dxfId="1">
      <formula>0</formula>
    </cfRule>
  </conditionalFormatting>
  <conditionalFormatting sqref="N26">
    <cfRule type="cellIs" priority="22" operator="lessThan" aboveAverage="0" equalAverage="0" bottom="0" percent="0" rank="0" text="" dxfId="0">
      <formula>0</formula>
    </cfRule>
    <cfRule type="cellIs" priority="23" operator="greaterThan" aboveAverage="0" equalAverage="0" bottom="0" percent="0" rank="0" text="" dxfId="1">
      <formula>0</formula>
    </cfRule>
  </conditionalFormatting>
  <conditionalFormatting sqref="O26">
    <cfRule type="cellIs" priority="24" operator="lessThan" aboveAverage="0" equalAverage="0" bottom="0" percent="0" rank="0" text="" dxfId="0">
      <formula>0</formula>
    </cfRule>
    <cfRule type="cellIs" priority="25" operator="greaterThan" aboveAverage="0" equalAverage="0" bottom="0" percent="0" rank="0" text="" dxfId="1">
      <formula>0</formula>
    </cfRule>
  </conditionalFormatting>
  <conditionalFormatting sqref="P26">
    <cfRule type="cellIs" priority="26" operator="lessThan" aboveAverage="0" equalAverage="0" bottom="0" percent="0" rank="0" text="" dxfId="0">
      <formula>0</formula>
    </cfRule>
    <cfRule type="cellIs" priority="27" operator="greaterThan" aboveAverage="0" equalAverage="0" bottom="0" percent="0" rank="0" text="" dxfId="1">
      <formula>0</formula>
    </cfRule>
  </conditionalFormatting>
  <conditionalFormatting sqref="D27">
    <cfRule type="expression" priority="28" aboveAverage="0" equalAverage="0" bottom="0" percent="0" rank="0" text="" dxfId="0">
      <formula>D27&lt;F3</formula>
    </cfRule>
    <cfRule type="expression" priority="29" aboveAverage="0" equalAverage="0" bottom="0" percent="0" rank="0" text="" dxfId="2">
      <formula>AND(D27&gt;=F3,D27&lt;F3*1.2)</formula>
    </cfRule>
    <cfRule type="expression" priority="30" aboveAverage="0" equalAverage="0" bottom="0" percent="0" rank="0" text="" dxfId="1">
      <formula>D27&gt;=F3*1.2</formula>
    </cfRule>
  </conditionalFormatting>
  <conditionalFormatting sqref="E27">
    <cfRule type="expression" priority="31" aboveAverage="0" equalAverage="0" bottom="0" percent="0" rank="0" text="" dxfId="0">
      <formula>E27&lt;F3</formula>
    </cfRule>
    <cfRule type="expression" priority="32" aboveAverage="0" equalAverage="0" bottom="0" percent="0" rank="0" text="" dxfId="2">
      <formula>AND(E27&gt;=F3,E27&lt;F3*1.2)</formula>
    </cfRule>
    <cfRule type="expression" priority="33" aboveAverage="0" equalAverage="0" bottom="0" percent="0" rank="0" text="" dxfId="1">
      <formula>E27&gt;=F3*1.2</formula>
    </cfRule>
  </conditionalFormatting>
  <conditionalFormatting sqref="F27">
    <cfRule type="expression" priority="34" aboveAverage="0" equalAverage="0" bottom="0" percent="0" rank="0" text="" dxfId="0">
      <formula>F27&lt;F3</formula>
    </cfRule>
    <cfRule type="expression" priority="35" aboveAverage="0" equalAverage="0" bottom="0" percent="0" rank="0" text="" dxfId="2">
      <formula>AND(F27&gt;=F3,F27&lt;F3*1.2)</formula>
    </cfRule>
    <cfRule type="expression" priority="36" aboveAverage="0" equalAverage="0" bottom="0" percent="0" rank="0" text="" dxfId="1">
      <formula>F27&gt;=F3*1.2</formula>
    </cfRule>
  </conditionalFormatting>
  <conditionalFormatting sqref="G27">
    <cfRule type="expression" priority="37" aboveAverage="0" equalAverage="0" bottom="0" percent="0" rank="0" text="" dxfId="0">
      <formula>G27&lt;F3</formula>
    </cfRule>
    <cfRule type="expression" priority="38" aboveAverage="0" equalAverage="0" bottom="0" percent="0" rank="0" text="" dxfId="2">
      <formula>AND(G27&gt;=F3,G27&lt;F3*1.2)</formula>
    </cfRule>
    <cfRule type="expression" priority="39" aboveAverage="0" equalAverage="0" bottom="0" percent="0" rank="0" text="" dxfId="1">
      <formula>G27&gt;=F3*1.2</formula>
    </cfRule>
  </conditionalFormatting>
  <conditionalFormatting sqref="H27">
    <cfRule type="expression" priority="40" aboveAverage="0" equalAverage="0" bottom="0" percent="0" rank="0" text="" dxfId="0">
      <formula>H27&lt;F3</formula>
    </cfRule>
    <cfRule type="expression" priority="41" aboveAverage="0" equalAverage="0" bottom="0" percent="0" rank="0" text="" dxfId="2">
      <formula>AND(H27&gt;=F3,H27&lt;F3*1.2)</formula>
    </cfRule>
    <cfRule type="expression" priority="42" aboveAverage="0" equalAverage="0" bottom="0" percent="0" rank="0" text="" dxfId="1">
      <formula>H27&gt;=F3*1.2</formula>
    </cfRule>
  </conditionalFormatting>
  <conditionalFormatting sqref="I27">
    <cfRule type="expression" priority="43" aboveAverage="0" equalAverage="0" bottom="0" percent="0" rank="0" text="" dxfId="0">
      <formula>I27&lt;F3</formula>
    </cfRule>
    <cfRule type="expression" priority="44" aboveAverage="0" equalAverage="0" bottom="0" percent="0" rank="0" text="" dxfId="2">
      <formula>AND(I27&gt;=F3,I27&lt;F3*1.2)</formula>
    </cfRule>
    <cfRule type="expression" priority="45" aboveAverage="0" equalAverage="0" bottom="0" percent="0" rank="0" text="" dxfId="1">
      <formula>I27&gt;=F3*1.2</formula>
    </cfRule>
  </conditionalFormatting>
  <conditionalFormatting sqref="J27">
    <cfRule type="expression" priority="46" aboveAverage="0" equalAverage="0" bottom="0" percent="0" rank="0" text="" dxfId="0">
      <formula>J27&lt;F3</formula>
    </cfRule>
    <cfRule type="expression" priority="47" aboveAverage="0" equalAverage="0" bottom="0" percent="0" rank="0" text="" dxfId="2">
      <formula>AND(J27&gt;=F3,J27&lt;F3*1.2)</formula>
    </cfRule>
    <cfRule type="expression" priority="48" aboveAverage="0" equalAverage="0" bottom="0" percent="0" rank="0" text="" dxfId="1">
      <formula>J27&gt;=F3*1.2</formula>
    </cfRule>
  </conditionalFormatting>
  <conditionalFormatting sqref="K27">
    <cfRule type="expression" priority="49" aboveAverage="0" equalAverage="0" bottom="0" percent="0" rank="0" text="" dxfId="0">
      <formula>K27&lt;F3</formula>
    </cfRule>
    <cfRule type="expression" priority="50" aboveAverage="0" equalAverage="0" bottom="0" percent="0" rank="0" text="" dxfId="2">
      <formula>AND(K27&gt;=F3,K27&lt;F3*1.2)</formula>
    </cfRule>
    <cfRule type="expression" priority="51" aboveAverage="0" equalAverage="0" bottom="0" percent="0" rank="0" text="" dxfId="1">
      <formula>K27&gt;=F3*1.2</formula>
    </cfRule>
  </conditionalFormatting>
  <conditionalFormatting sqref="L27">
    <cfRule type="expression" priority="52" aboveAverage="0" equalAverage="0" bottom="0" percent="0" rank="0" text="" dxfId="0">
      <formula>L27&lt;F3</formula>
    </cfRule>
    <cfRule type="expression" priority="53" aboveAverage="0" equalAverage="0" bottom="0" percent="0" rank="0" text="" dxfId="2">
      <formula>AND(L27&gt;=F3,L27&lt;F3*1.2)</formula>
    </cfRule>
    <cfRule type="expression" priority="54" aboveAverage="0" equalAverage="0" bottom="0" percent="0" rank="0" text="" dxfId="1">
      <formula>L27&gt;=F3*1.2</formula>
    </cfRule>
  </conditionalFormatting>
  <conditionalFormatting sqref="M27">
    <cfRule type="expression" priority="55" aboveAverage="0" equalAverage="0" bottom="0" percent="0" rank="0" text="" dxfId="0">
      <formula>M27&lt;F3</formula>
    </cfRule>
    <cfRule type="expression" priority="56" aboveAverage="0" equalAverage="0" bottom="0" percent="0" rank="0" text="" dxfId="2">
      <formula>AND(M27&gt;=F3,M27&lt;F3*1.2)</formula>
    </cfRule>
    <cfRule type="expression" priority="57" aboveAverage="0" equalAverage="0" bottom="0" percent="0" rank="0" text="" dxfId="1">
      <formula>M27&gt;=F3*1.2</formula>
    </cfRule>
  </conditionalFormatting>
  <conditionalFormatting sqref="N27">
    <cfRule type="expression" priority="58" aboveAverage="0" equalAverage="0" bottom="0" percent="0" rank="0" text="" dxfId="0">
      <formula>N27&lt;F3</formula>
    </cfRule>
    <cfRule type="expression" priority="59" aboveAverage="0" equalAverage="0" bottom="0" percent="0" rank="0" text="" dxfId="2">
      <formula>AND(N27&gt;=F3,N27&lt;F3*1.2)</formula>
    </cfRule>
    <cfRule type="expression" priority="60" aboveAverage="0" equalAverage="0" bottom="0" percent="0" rank="0" text="" dxfId="1">
      <formula>N27&gt;=F3*1.2</formula>
    </cfRule>
  </conditionalFormatting>
  <conditionalFormatting sqref="O27">
    <cfRule type="expression" priority="61" aboveAverage="0" equalAverage="0" bottom="0" percent="0" rank="0" text="" dxfId="0">
      <formula>O27&lt;F3</formula>
    </cfRule>
    <cfRule type="expression" priority="62" aboveAverage="0" equalAverage="0" bottom="0" percent="0" rank="0" text="" dxfId="2">
      <formula>AND(O27&gt;=F3,O27&lt;F3*1.2)</formula>
    </cfRule>
    <cfRule type="expression" priority="63" aboveAverage="0" equalAverage="0" bottom="0" percent="0" rank="0" text="" dxfId="1">
      <formula>O27&gt;=F3*1.2</formula>
    </cfRule>
  </conditionalFormatting>
  <conditionalFormatting sqref="P27">
    <cfRule type="expression" priority="64" aboveAverage="0" equalAverage="0" bottom="0" percent="0" rank="0" text="" dxfId="0">
      <formula>P27&lt;F3</formula>
    </cfRule>
    <cfRule type="expression" priority="65" aboveAverage="0" equalAverage="0" bottom="0" percent="0" rank="0" text="" dxfId="2">
      <formula>AND(P27&gt;=F3,P27&lt;F3*1.2)</formula>
    </cfRule>
    <cfRule type="expression" priority="66" aboveAverage="0" equalAverage="0" bottom="0" percent="0" rank="0" text="" dxfId="1">
      <formula>P27&gt;=F3*1.2</formula>
    </cfRule>
  </conditionalFormatting>
  <conditionalFormatting sqref="E36">
    <cfRule type="cellIs" priority="67" operator="lessThan" aboveAverage="0" equalAverage="0" bottom="0" percent="0" rank="0" text="" dxfId="0">
      <formula>0</formula>
    </cfRule>
  </conditionalFormatting>
  <conditionalFormatting sqref="E38">
    <cfRule type="cellIs" priority="68" operator="greaterThan" aboveAverage="0" equalAverage="0" bottom="0" percent="0" rank="0" text="" dxfId="0">
      <formula>0</formula>
    </cfRule>
    <cfRule type="cellIs" priority="69"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
    <col collapsed="false" customWidth="true" hidden="false" outlineLevel="0" max="3" min="3" style="0" width="30"/>
    <col collapsed="false" customWidth="true" hidden="false" outlineLevel="0" max="16" min="4" style="0" width="13"/>
  </cols>
  <sheetData>
    <row r="1" customFormat="false" ht="36" hidden="false" customHeight="true" outlineLevel="0" collapsed="false">
      <c r="A1" s="1" t="s">
        <v>113</v>
      </c>
      <c r="B1" s="1"/>
      <c r="C1" s="1"/>
      <c r="D1" s="1"/>
      <c r="E1" s="1"/>
      <c r="F1" s="1"/>
      <c r="G1" s="1"/>
      <c r="H1" s="1"/>
      <c r="I1" s="1"/>
      <c r="J1" s="1"/>
      <c r="K1" s="1"/>
      <c r="L1" s="1"/>
      <c r="M1" s="1"/>
      <c r="N1" s="1"/>
      <c r="O1" s="1"/>
      <c r="P1" s="1"/>
    </row>
    <row r="2" customFormat="false" ht="19.5" hidden="false" customHeight="true" outlineLevel="0" collapsed="false">
      <c r="A2" s="2" t="s">
        <v>48</v>
      </c>
      <c r="B2" s="3"/>
      <c r="D2" s="2" t="s">
        <v>49</v>
      </c>
      <c r="E2" s="3"/>
      <c r="G2" s="2" t="s">
        <v>50</v>
      </c>
      <c r="H2" s="3"/>
      <c r="J2" s="2" t="s">
        <v>4</v>
      </c>
      <c r="K2" s="3"/>
    </row>
    <row r="3" customFormat="false" ht="21.75" hidden="false" customHeight="true" outlineLevel="0" collapsed="false">
      <c r="A3" s="38" t="s">
        <v>51</v>
      </c>
      <c r="B3" s="5" t="n">
        <v>0</v>
      </c>
      <c r="E3" s="4" t="s">
        <v>52</v>
      </c>
      <c r="F3" s="5" t="n">
        <v>5000</v>
      </c>
      <c r="G3" s="6" t="s">
        <v>53</v>
      </c>
      <c r="H3" s="6"/>
      <c r="I3" s="6"/>
      <c r="J3" s="6"/>
      <c r="K3" s="6"/>
      <c r="L3" s="6"/>
      <c r="M3" s="6"/>
      <c r="N3" s="6"/>
      <c r="O3" s="6"/>
      <c r="P3" s="6"/>
    </row>
    <row r="5" customFormat="false" ht="18" hidden="false" customHeight="true" outlineLevel="0" collapsed="false">
      <c r="A5" s="7" t="s">
        <v>54</v>
      </c>
      <c r="B5" s="7"/>
      <c r="C5" s="8" t="s">
        <v>55</v>
      </c>
      <c r="D5" s="9" t="s">
        <v>56</v>
      </c>
      <c r="E5" s="9" t="s">
        <v>57</v>
      </c>
      <c r="F5" s="9" t="s">
        <v>58</v>
      </c>
      <c r="G5" s="9" t="s">
        <v>59</v>
      </c>
      <c r="H5" s="9" t="s">
        <v>60</v>
      </c>
      <c r="I5" s="9" t="s">
        <v>61</v>
      </c>
      <c r="J5" s="9" t="s">
        <v>62</v>
      </c>
      <c r="K5" s="9" t="s">
        <v>63</v>
      </c>
      <c r="L5" s="9" t="s">
        <v>64</v>
      </c>
      <c r="M5" s="9" t="s">
        <v>65</v>
      </c>
      <c r="N5" s="9" t="s">
        <v>66</v>
      </c>
      <c r="O5" s="9" t="s">
        <v>67</v>
      </c>
      <c r="P5" s="9" t="s">
        <v>68</v>
      </c>
    </row>
    <row r="6" customFormat="false" ht="18" hidden="false" customHeight="true" outlineLevel="0" collapsed="false">
      <c r="A6" s="10" t="s">
        <v>22</v>
      </c>
      <c r="B6" s="10"/>
      <c r="C6" s="39"/>
      <c r="D6" s="40"/>
      <c r="E6" s="40"/>
      <c r="F6" s="40"/>
      <c r="G6" s="40"/>
      <c r="H6" s="40"/>
      <c r="I6" s="40"/>
      <c r="J6" s="40"/>
      <c r="K6" s="40"/>
      <c r="L6" s="40"/>
      <c r="M6" s="40"/>
      <c r="N6" s="40"/>
      <c r="O6" s="40"/>
      <c r="P6" s="40"/>
    </row>
    <row r="7" customFormat="false" ht="3.75" hidden="false" customHeight="true" outlineLevel="0" collapsed="false"/>
    <row r="8" customFormat="false" ht="19.5" hidden="false" customHeight="true" outlineLevel="0" collapsed="false">
      <c r="A8" s="27" t="s">
        <v>69</v>
      </c>
      <c r="B8" s="27"/>
      <c r="C8" s="27"/>
      <c r="D8" s="27"/>
      <c r="E8" s="27"/>
      <c r="F8" s="27"/>
      <c r="G8" s="27"/>
      <c r="H8" s="27"/>
      <c r="I8" s="27"/>
      <c r="J8" s="27"/>
      <c r="K8" s="27"/>
      <c r="L8" s="27"/>
      <c r="M8" s="27"/>
      <c r="N8" s="27"/>
      <c r="O8" s="27"/>
      <c r="P8" s="27"/>
    </row>
    <row r="9" customFormat="false" ht="18" hidden="false" customHeight="true" outlineLevel="0" collapsed="false">
      <c r="A9" s="41" t="s">
        <v>70</v>
      </c>
      <c r="B9" s="41"/>
      <c r="C9" s="42" t="s">
        <v>71</v>
      </c>
      <c r="D9" s="43"/>
      <c r="E9" s="43"/>
      <c r="F9" s="43"/>
      <c r="G9" s="43"/>
      <c r="H9" s="43"/>
      <c r="I9" s="43"/>
      <c r="J9" s="43"/>
      <c r="K9" s="43"/>
      <c r="L9" s="43"/>
      <c r="M9" s="43"/>
      <c r="N9" s="43"/>
      <c r="O9" s="43"/>
      <c r="P9" s="43"/>
    </row>
    <row r="10" customFormat="false" ht="18" hidden="false" customHeight="true" outlineLevel="0" collapsed="false">
      <c r="A10" s="44" t="s">
        <v>72</v>
      </c>
      <c r="B10" s="44"/>
      <c r="C10" s="42" t="s">
        <v>73</v>
      </c>
      <c r="D10" s="45"/>
      <c r="E10" s="45"/>
      <c r="F10" s="45"/>
      <c r="G10" s="45"/>
      <c r="H10" s="45"/>
      <c r="I10" s="45"/>
      <c r="J10" s="45"/>
      <c r="K10" s="45"/>
      <c r="L10" s="45"/>
      <c r="M10" s="45"/>
      <c r="N10" s="45"/>
      <c r="O10" s="45"/>
      <c r="P10" s="45"/>
    </row>
    <row r="11" customFormat="false" ht="18" hidden="false" customHeight="true" outlineLevel="0" collapsed="false">
      <c r="A11" s="41" t="s">
        <v>74</v>
      </c>
      <c r="B11" s="41"/>
      <c r="C11" s="42" t="s">
        <v>75</v>
      </c>
      <c r="D11" s="43"/>
      <c r="E11" s="43"/>
      <c r="F11" s="43"/>
      <c r="G11" s="43"/>
      <c r="H11" s="43"/>
      <c r="I11" s="43"/>
      <c r="J11" s="43"/>
      <c r="K11" s="43"/>
      <c r="L11" s="43"/>
      <c r="M11" s="43"/>
      <c r="N11" s="43"/>
      <c r="O11" s="43"/>
      <c r="P11" s="43"/>
    </row>
    <row r="12" customFormat="false" ht="18" hidden="false" customHeight="true" outlineLevel="0" collapsed="false">
      <c r="A12" s="44" t="s">
        <v>76</v>
      </c>
      <c r="B12" s="44"/>
      <c r="C12" s="42" t="s">
        <v>77</v>
      </c>
      <c r="D12" s="45"/>
      <c r="E12" s="45"/>
      <c r="F12" s="45"/>
      <c r="G12" s="45"/>
      <c r="H12" s="45"/>
      <c r="I12" s="45"/>
      <c r="J12" s="45"/>
      <c r="K12" s="45"/>
      <c r="L12" s="45"/>
      <c r="M12" s="45"/>
      <c r="N12" s="45"/>
      <c r="O12" s="45"/>
      <c r="P12" s="45"/>
    </row>
    <row r="13" customFormat="false" ht="19.5" hidden="false" customHeight="true" outlineLevel="0" collapsed="false">
      <c r="A13" s="27" t="s">
        <v>78</v>
      </c>
      <c r="B13" s="27"/>
      <c r="C13" s="46"/>
      <c r="D13" s="28" t="n">
        <f aca="false">SUM(D9:D12)</f>
        <v>0</v>
      </c>
      <c r="E13" s="28" t="n">
        <f aca="false">SUM(E9:E12)</f>
        <v>0</v>
      </c>
      <c r="F13" s="28" t="n">
        <f aca="false">SUM(F9:F12)</f>
        <v>0</v>
      </c>
      <c r="G13" s="28" t="n">
        <f aca="false">SUM(G9:G12)</f>
        <v>0</v>
      </c>
      <c r="H13" s="28" t="n">
        <f aca="false">SUM(H9:H12)</f>
        <v>0</v>
      </c>
      <c r="I13" s="28" t="n">
        <f aca="false">SUM(I9:I12)</f>
        <v>0</v>
      </c>
      <c r="J13" s="28" t="n">
        <f aca="false">SUM(J9:J12)</f>
        <v>0</v>
      </c>
      <c r="K13" s="28" t="n">
        <f aca="false">SUM(K9:K12)</f>
        <v>0</v>
      </c>
      <c r="L13" s="28" t="n">
        <f aca="false">SUM(L9:L12)</f>
        <v>0</v>
      </c>
      <c r="M13" s="28" t="n">
        <f aca="false">SUM(M9:M12)</f>
        <v>0</v>
      </c>
      <c r="N13" s="28" t="n">
        <f aca="false">SUM(N9:N12)</f>
        <v>0</v>
      </c>
      <c r="O13" s="28" t="n">
        <f aca="false">SUM(O9:O12)</f>
        <v>0</v>
      </c>
      <c r="P13" s="28" t="n">
        <f aca="false">SUM(P9:P12)</f>
        <v>0</v>
      </c>
    </row>
    <row r="14" customFormat="false" ht="3.75" hidden="false" customHeight="true" outlineLevel="0" collapsed="false"/>
    <row r="15" customFormat="false" ht="19.5" hidden="false" customHeight="true" outlineLevel="0" collapsed="false">
      <c r="A15" s="29" t="s">
        <v>79</v>
      </c>
      <c r="B15" s="29"/>
      <c r="C15" s="29"/>
      <c r="D15" s="29"/>
      <c r="E15" s="29"/>
      <c r="F15" s="29"/>
      <c r="G15" s="29"/>
      <c r="H15" s="29"/>
      <c r="I15" s="29"/>
      <c r="J15" s="29"/>
      <c r="K15" s="29"/>
      <c r="L15" s="29"/>
      <c r="M15" s="29"/>
      <c r="N15" s="29"/>
      <c r="O15" s="29"/>
      <c r="P15" s="29"/>
    </row>
    <row r="16" customFormat="false" ht="18" hidden="false" customHeight="true" outlineLevel="0" collapsed="false">
      <c r="A16" s="44" t="s">
        <v>80</v>
      </c>
      <c r="B16" s="44"/>
      <c r="C16" s="42" t="s">
        <v>81</v>
      </c>
      <c r="D16" s="45"/>
      <c r="E16" s="45"/>
      <c r="F16" s="45"/>
      <c r="G16" s="45"/>
      <c r="H16" s="45"/>
      <c r="I16" s="45"/>
      <c r="J16" s="45"/>
      <c r="K16" s="45"/>
      <c r="L16" s="45"/>
      <c r="M16" s="45"/>
      <c r="N16" s="45"/>
      <c r="O16" s="45"/>
      <c r="P16" s="45"/>
    </row>
    <row r="17" customFormat="false" ht="18" hidden="false" customHeight="true" outlineLevel="0" collapsed="false">
      <c r="A17" s="18" t="s">
        <v>82</v>
      </c>
      <c r="B17" s="18"/>
      <c r="C17" s="42" t="s">
        <v>83</v>
      </c>
      <c r="D17" s="47"/>
      <c r="E17" s="47"/>
      <c r="F17" s="47"/>
      <c r="G17" s="47"/>
      <c r="H17" s="47"/>
      <c r="I17" s="47"/>
      <c r="J17" s="47"/>
      <c r="K17" s="47"/>
      <c r="L17" s="47"/>
      <c r="M17" s="47"/>
      <c r="N17" s="47"/>
      <c r="O17" s="47"/>
      <c r="P17" s="47"/>
    </row>
    <row r="18" customFormat="false" ht="18" hidden="false" customHeight="true" outlineLevel="0" collapsed="false">
      <c r="A18" s="44" t="s">
        <v>84</v>
      </c>
      <c r="B18" s="44"/>
      <c r="C18" s="42" t="s">
        <v>85</v>
      </c>
      <c r="D18" s="45"/>
      <c r="E18" s="45"/>
      <c r="F18" s="45"/>
      <c r="G18" s="45"/>
      <c r="H18" s="45"/>
      <c r="I18" s="45"/>
      <c r="J18" s="45"/>
      <c r="K18" s="45"/>
      <c r="L18" s="45"/>
      <c r="M18" s="45"/>
      <c r="N18" s="45"/>
      <c r="O18" s="45"/>
      <c r="P18" s="45"/>
    </row>
    <row r="19" customFormat="false" ht="18" hidden="false" customHeight="true" outlineLevel="0" collapsed="false">
      <c r="A19" s="18" t="s">
        <v>86</v>
      </c>
      <c r="B19" s="18"/>
      <c r="C19" s="42" t="s">
        <v>87</v>
      </c>
      <c r="D19" s="47"/>
      <c r="E19" s="47"/>
      <c r="F19" s="47"/>
      <c r="G19" s="47"/>
      <c r="H19" s="47"/>
      <c r="I19" s="47"/>
      <c r="J19" s="47"/>
      <c r="K19" s="47"/>
      <c r="L19" s="47"/>
      <c r="M19" s="47"/>
      <c r="N19" s="47"/>
      <c r="O19" s="47"/>
      <c r="P19" s="47"/>
    </row>
    <row r="20" customFormat="false" ht="18" hidden="false" customHeight="true" outlineLevel="0" collapsed="false">
      <c r="A20" s="44" t="s">
        <v>88</v>
      </c>
      <c r="B20" s="44"/>
      <c r="C20" s="42" t="s">
        <v>89</v>
      </c>
      <c r="D20" s="45"/>
      <c r="E20" s="45"/>
      <c r="F20" s="45"/>
      <c r="G20" s="45"/>
      <c r="H20" s="45"/>
      <c r="I20" s="45"/>
      <c r="J20" s="45"/>
      <c r="K20" s="45"/>
      <c r="L20" s="45"/>
      <c r="M20" s="45"/>
      <c r="N20" s="45"/>
      <c r="O20" s="45"/>
      <c r="P20" s="45"/>
    </row>
    <row r="21" customFormat="false" ht="18" hidden="false" customHeight="true" outlineLevel="0" collapsed="false">
      <c r="A21" s="18" t="s">
        <v>90</v>
      </c>
      <c r="B21" s="18"/>
      <c r="C21" s="42" t="s">
        <v>91</v>
      </c>
      <c r="D21" s="47"/>
      <c r="E21" s="47"/>
      <c r="F21" s="47"/>
      <c r="G21" s="47"/>
      <c r="H21" s="47"/>
      <c r="I21" s="47"/>
      <c r="J21" s="47"/>
      <c r="K21" s="47"/>
      <c r="L21" s="47"/>
      <c r="M21" s="47"/>
      <c r="N21" s="47"/>
      <c r="O21" s="47"/>
      <c r="P21" s="47"/>
    </row>
    <row r="22" customFormat="false" ht="18" hidden="false" customHeight="true" outlineLevel="0" collapsed="false">
      <c r="A22" s="44" t="s">
        <v>92</v>
      </c>
      <c r="B22" s="44"/>
      <c r="C22" s="42" t="s">
        <v>93</v>
      </c>
      <c r="D22" s="45"/>
      <c r="E22" s="45"/>
      <c r="F22" s="45"/>
      <c r="G22" s="45"/>
      <c r="H22" s="45"/>
      <c r="I22" s="45"/>
      <c r="J22" s="45"/>
      <c r="K22" s="45"/>
      <c r="L22" s="45"/>
      <c r="M22" s="45"/>
      <c r="N22" s="45"/>
      <c r="O22" s="45"/>
      <c r="P22" s="45"/>
    </row>
    <row r="23" customFormat="false" ht="18" hidden="false" customHeight="true" outlineLevel="0" collapsed="false">
      <c r="A23" s="18" t="s">
        <v>94</v>
      </c>
      <c r="B23" s="18"/>
      <c r="C23" s="42" t="s">
        <v>95</v>
      </c>
      <c r="D23" s="47"/>
      <c r="E23" s="47"/>
      <c r="F23" s="47"/>
      <c r="G23" s="47"/>
      <c r="H23" s="47"/>
      <c r="I23" s="47"/>
      <c r="J23" s="47"/>
      <c r="K23" s="47"/>
      <c r="L23" s="47"/>
      <c r="M23" s="47"/>
      <c r="N23" s="47"/>
      <c r="O23" s="47"/>
      <c r="P23" s="47"/>
    </row>
    <row r="24" customFormat="false" ht="19.5" hidden="false" customHeight="true" outlineLevel="0" collapsed="false">
      <c r="A24" s="29" t="s">
        <v>96</v>
      </c>
      <c r="B24" s="29"/>
      <c r="C24" s="48"/>
      <c r="D24" s="30" t="n">
        <f aca="false">SUM(D16:D23)</f>
        <v>0</v>
      </c>
      <c r="E24" s="30" t="n">
        <f aca="false">SUM(E16:E23)</f>
        <v>0</v>
      </c>
      <c r="F24" s="30" t="n">
        <f aca="false">SUM(F16:F23)</f>
        <v>0</v>
      </c>
      <c r="G24" s="30" t="n">
        <f aca="false">SUM(G16:G23)</f>
        <v>0</v>
      </c>
      <c r="H24" s="30" t="n">
        <f aca="false">SUM(H16:H23)</f>
        <v>0</v>
      </c>
      <c r="I24" s="30" t="n">
        <f aca="false">SUM(I16:I23)</f>
        <v>0</v>
      </c>
      <c r="J24" s="30" t="n">
        <f aca="false">SUM(J16:J23)</f>
        <v>0</v>
      </c>
      <c r="K24" s="30" t="n">
        <f aca="false">SUM(K16:K23)</f>
        <v>0</v>
      </c>
      <c r="L24" s="30" t="n">
        <f aca="false">SUM(L16:L23)</f>
        <v>0</v>
      </c>
      <c r="M24" s="30" t="n">
        <f aca="false">SUM(M16:M23)</f>
        <v>0</v>
      </c>
      <c r="N24" s="30" t="n">
        <f aca="false">SUM(N16:N23)</f>
        <v>0</v>
      </c>
      <c r="O24" s="30" t="n">
        <f aca="false">SUM(O16:O23)</f>
        <v>0</v>
      </c>
      <c r="P24" s="30" t="n">
        <f aca="false">SUM(P16:P23)</f>
        <v>0</v>
      </c>
    </row>
    <row r="25" customFormat="false" ht="3.75" hidden="false" customHeight="true" outlineLevel="0" collapsed="false"/>
    <row r="26" customFormat="false" ht="19.5" hidden="false" customHeight="true" outlineLevel="0" collapsed="false">
      <c r="A26" s="13" t="s">
        <v>97</v>
      </c>
      <c r="B26" s="13"/>
      <c r="C26" s="49"/>
      <c r="D26" s="22" t="n">
        <f aca="false">D13-D24</f>
        <v>0</v>
      </c>
      <c r="E26" s="22" t="n">
        <f aca="false">E13-E24</f>
        <v>0</v>
      </c>
      <c r="F26" s="22" t="n">
        <f aca="false">F13-F24</f>
        <v>0</v>
      </c>
      <c r="G26" s="22" t="n">
        <f aca="false">G13-G24</f>
        <v>0</v>
      </c>
      <c r="H26" s="22" t="n">
        <f aca="false">H13-H24</f>
        <v>0</v>
      </c>
      <c r="I26" s="22" t="n">
        <f aca="false">I13-I24</f>
        <v>0</v>
      </c>
      <c r="J26" s="22" t="n">
        <f aca="false">J13-J24</f>
        <v>0</v>
      </c>
      <c r="K26" s="22" t="n">
        <f aca="false">K13-K24</f>
        <v>0</v>
      </c>
      <c r="L26" s="22" t="n">
        <f aca="false">L13-L24</f>
        <v>0</v>
      </c>
      <c r="M26" s="22" t="n">
        <f aca="false">M13-M24</f>
        <v>0</v>
      </c>
      <c r="N26" s="22" t="n">
        <f aca="false">N13-N24</f>
        <v>0</v>
      </c>
      <c r="O26" s="22" t="n">
        <f aca="false">O13-O24</f>
        <v>0</v>
      </c>
      <c r="P26" s="22" t="n">
        <f aca="false">P13-P24</f>
        <v>0</v>
      </c>
    </row>
    <row r="27" customFormat="false" ht="19.5" hidden="false" customHeight="true" outlineLevel="0" collapsed="false">
      <c r="A27" s="14" t="s">
        <v>98</v>
      </c>
      <c r="B27" s="14"/>
      <c r="C27" s="50"/>
      <c r="D27" s="31" t="n">
        <f aca="false">B3+D26</f>
        <v>0</v>
      </c>
      <c r="E27" s="31" t="n">
        <f aca="false">D27+E26</f>
        <v>0</v>
      </c>
      <c r="F27" s="31" t="n">
        <f aca="false">E27+F26</f>
        <v>0</v>
      </c>
      <c r="G27" s="31" t="n">
        <f aca="false">F27+G26</f>
        <v>0</v>
      </c>
      <c r="H27" s="31" t="n">
        <f aca="false">G27+H26</f>
        <v>0</v>
      </c>
      <c r="I27" s="31" t="n">
        <f aca="false">H27+I26</f>
        <v>0</v>
      </c>
      <c r="J27" s="31" t="n">
        <f aca="false">I27+J26</f>
        <v>0</v>
      </c>
      <c r="K27" s="31" t="n">
        <f aca="false">J27+K26</f>
        <v>0</v>
      </c>
      <c r="L27" s="31" t="n">
        <f aca="false">K27+L26</f>
        <v>0</v>
      </c>
      <c r="M27" s="31" t="n">
        <f aca="false">L27+M26</f>
        <v>0</v>
      </c>
      <c r="N27" s="31" t="n">
        <f aca="false">M27+N26</f>
        <v>0</v>
      </c>
      <c r="O27" s="31" t="n">
        <f aca="false">N27+O26</f>
        <v>0</v>
      </c>
      <c r="P27" s="31" t="n">
        <f aca="false">O27+P26</f>
        <v>0</v>
      </c>
    </row>
    <row r="28" customFormat="false" ht="18" hidden="false" customHeight="true" outlineLevel="0" collapsed="false">
      <c r="A28" s="32" t="s">
        <v>99</v>
      </c>
      <c r="B28" s="32"/>
      <c r="C28" s="32"/>
      <c r="D28" s="32"/>
      <c r="E28" s="32"/>
      <c r="F28" s="32"/>
      <c r="G28" s="32"/>
      <c r="H28" s="32"/>
      <c r="I28" s="32"/>
      <c r="J28" s="32"/>
      <c r="K28" s="32"/>
      <c r="L28" s="32"/>
      <c r="M28" s="32"/>
      <c r="N28" s="32"/>
      <c r="O28" s="32"/>
      <c r="P28" s="32"/>
    </row>
    <row r="29" customFormat="false" ht="6" hidden="false" customHeight="true" outlineLevel="0" collapsed="false"/>
    <row r="30" customFormat="false" ht="19.5" hidden="false" customHeight="true" outlineLevel="0" collapsed="false">
      <c r="A30" s="13" t="s">
        <v>100</v>
      </c>
      <c r="B30" s="13"/>
      <c r="C30" s="13"/>
      <c r="D30" s="13"/>
      <c r="E30" s="13"/>
      <c r="F30" s="13"/>
      <c r="G30" s="13"/>
      <c r="H30" s="13"/>
      <c r="I30" s="13"/>
      <c r="J30" s="13"/>
      <c r="K30" s="13"/>
      <c r="L30" s="13"/>
      <c r="M30" s="13"/>
      <c r="N30" s="13"/>
      <c r="O30" s="13"/>
      <c r="P30" s="13"/>
    </row>
    <row r="31" customFormat="false" ht="18" hidden="false" customHeight="true" outlineLevel="0" collapsed="false">
      <c r="A31" s="33" t="s">
        <v>101</v>
      </c>
      <c r="B31" s="33"/>
      <c r="C31" s="33"/>
      <c r="D31" s="33"/>
      <c r="E31" s="34" t="n">
        <f aca="false">B3</f>
        <v>0</v>
      </c>
    </row>
    <row r="32" customFormat="false" ht="18" hidden="false" customHeight="true" outlineLevel="0" collapsed="false">
      <c r="A32" s="35" t="s">
        <v>102</v>
      </c>
      <c r="B32" s="35"/>
      <c r="C32" s="35"/>
      <c r="D32" s="35"/>
      <c r="E32" s="34" t="n">
        <f aca="false">SUM(D13:P13)</f>
        <v>0</v>
      </c>
    </row>
    <row r="33" customFormat="false" ht="18" hidden="false" customHeight="true" outlineLevel="0" collapsed="false">
      <c r="A33" s="33" t="s">
        <v>103</v>
      </c>
      <c r="B33" s="33"/>
      <c r="C33" s="33"/>
      <c r="D33" s="33"/>
      <c r="E33" s="34" t="n">
        <f aca="false">SUM(D24:P24)</f>
        <v>0</v>
      </c>
    </row>
    <row r="34" customFormat="false" ht="18" hidden="false" customHeight="true" outlineLevel="0" collapsed="false">
      <c r="A34" s="35" t="s">
        <v>104</v>
      </c>
      <c r="B34" s="35"/>
      <c r="C34" s="35"/>
      <c r="D34" s="35"/>
      <c r="E34" s="34" t="n">
        <f aca="false">SUM(D26:P26)</f>
        <v>0</v>
      </c>
    </row>
    <row r="35" customFormat="false" ht="18" hidden="false" customHeight="true" outlineLevel="0" collapsed="false">
      <c r="A35" s="33" t="s">
        <v>105</v>
      </c>
      <c r="B35" s="33"/>
      <c r="C35" s="33"/>
      <c r="D35" s="33"/>
      <c r="E35" s="34" t="n">
        <f aca="false">P27</f>
        <v>0</v>
      </c>
    </row>
    <row r="36" customFormat="false" ht="18" hidden="false" customHeight="true" outlineLevel="0" collapsed="false">
      <c r="A36" s="35" t="s">
        <v>106</v>
      </c>
      <c r="B36" s="35"/>
      <c r="C36" s="35"/>
      <c r="D36" s="35"/>
      <c r="E36" s="34" t="n">
        <f aca="false">MIN(D27:P27)</f>
        <v>0</v>
      </c>
    </row>
    <row r="37" customFormat="false" ht="18" hidden="false" customHeight="true" outlineLevel="0" collapsed="false">
      <c r="A37" s="33" t="s">
        <v>107</v>
      </c>
      <c r="B37" s="33"/>
      <c r="C37" s="33"/>
      <c r="D37" s="33"/>
      <c r="E37" s="34" t="n">
        <f aca="false">MAX(D27:P27)</f>
        <v>0</v>
      </c>
    </row>
    <row r="38" customFormat="false" ht="18" hidden="false" customHeight="true" outlineLevel="0" collapsed="false">
      <c r="A38" s="35" t="s">
        <v>108</v>
      </c>
      <c r="B38" s="35"/>
      <c r="C38" s="35"/>
      <c r="D38" s="35"/>
      <c r="E38" s="36" t="n">
        <f aca="false">COUNTIF(D27:P27,"&lt;"&amp;F3)</f>
        <v>13</v>
      </c>
    </row>
    <row r="39" customFormat="false" ht="18" hidden="false" customHeight="true" outlineLevel="0" collapsed="false">
      <c r="A39" s="33" t="s">
        <v>109</v>
      </c>
      <c r="B39" s="33"/>
      <c r="C39" s="33"/>
      <c r="D39" s="33"/>
      <c r="E39" s="34" t="n">
        <f aca="false">SUM(D9:P9)</f>
        <v>0</v>
      </c>
    </row>
    <row r="40" customFormat="false" ht="18" hidden="false" customHeight="true" outlineLevel="0" collapsed="false">
      <c r="A40" s="35" t="s">
        <v>110</v>
      </c>
      <c r="B40" s="35"/>
      <c r="C40" s="35"/>
      <c r="D40" s="35"/>
      <c r="E40" s="34" t="n">
        <f aca="false">SUM(D10:P10)</f>
        <v>0</v>
      </c>
    </row>
    <row r="41" customFormat="false" ht="18" hidden="false" customHeight="true" outlineLevel="0" collapsed="false">
      <c r="A41" s="33" t="s">
        <v>111</v>
      </c>
      <c r="B41" s="33"/>
      <c r="C41" s="33"/>
      <c r="D41" s="33"/>
      <c r="E41" s="34" t="n">
        <f aca="false">SUM(D16:P16)</f>
        <v>0</v>
      </c>
    </row>
    <row r="42" customFormat="false" ht="18" hidden="false" customHeight="true" outlineLevel="0" collapsed="false">
      <c r="A42" s="35" t="s">
        <v>112</v>
      </c>
      <c r="B42" s="35"/>
      <c r="C42" s="35"/>
      <c r="D42" s="35"/>
      <c r="E42" s="34" t="n">
        <f aca="false">SUM(D17:P17)</f>
        <v>0</v>
      </c>
    </row>
    <row r="44" customFormat="false" ht="21.75" hidden="false" customHeight="true" outlineLevel="0" collapsed="false">
      <c r="A44" s="37" t="s">
        <v>46</v>
      </c>
      <c r="B44" s="37"/>
      <c r="C44" s="37"/>
      <c r="D44" s="37"/>
      <c r="E44" s="37"/>
      <c r="F44" s="37"/>
      <c r="G44" s="37"/>
      <c r="H44" s="37"/>
      <c r="I44" s="37"/>
      <c r="J44" s="37"/>
      <c r="K44" s="37"/>
      <c r="L44" s="37"/>
      <c r="M44" s="37"/>
      <c r="N44" s="37"/>
      <c r="O44" s="37"/>
      <c r="P44" s="37"/>
    </row>
  </sheetData>
  <sheetProtection sheet="true" password="df0a"/>
  <mergeCells count="37">
    <mergeCell ref="A1:P1"/>
    <mergeCell ref="G3:P3"/>
    <mergeCell ref="A5:B5"/>
    <mergeCell ref="A6:B6"/>
    <mergeCell ref="A8:P8"/>
    <mergeCell ref="A9:B9"/>
    <mergeCell ref="A10:B10"/>
    <mergeCell ref="A11:B11"/>
    <mergeCell ref="A12:B12"/>
    <mergeCell ref="A13:B13"/>
    <mergeCell ref="A15:P15"/>
    <mergeCell ref="A16:B16"/>
    <mergeCell ref="A17:B17"/>
    <mergeCell ref="A18:B18"/>
    <mergeCell ref="A19:B19"/>
    <mergeCell ref="A20:B20"/>
    <mergeCell ref="A21:B21"/>
    <mergeCell ref="A22:B22"/>
    <mergeCell ref="A23:B23"/>
    <mergeCell ref="A24:B24"/>
    <mergeCell ref="A26:B26"/>
    <mergeCell ref="A27:B27"/>
    <mergeCell ref="A28:P28"/>
    <mergeCell ref="A30:P30"/>
    <mergeCell ref="A31:D31"/>
    <mergeCell ref="A32:D32"/>
    <mergeCell ref="A33:D33"/>
    <mergeCell ref="A34:D34"/>
    <mergeCell ref="A35:D35"/>
    <mergeCell ref="A36:D36"/>
    <mergeCell ref="A37:D37"/>
    <mergeCell ref="A38:D38"/>
    <mergeCell ref="A39:D39"/>
    <mergeCell ref="A40:D40"/>
    <mergeCell ref="A41:D41"/>
    <mergeCell ref="A42:D42"/>
    <mergeCell ref="A44:P44"/>
  </mergeCells>
  <conditionalFormatting sqref="D26">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conditionalFormatting sqref="E26">
    <cfRule type="cellIs" priority="4" operator="lessThan" aboveAverage="0" equalAverage="0" bottom="0" percent="0" rank="0" text="" dxfId="0">
      <formula>0</formula>
    </cfRule>
    <cfRule type="cellIs" priority="5" operator="greaterThan" aboveAverage="0" equalAverage="0" bottom="0" percent="0" rank="0" text="" dxfId="1">
      <formula>0</formula>
    </cfRule>
  </conditionalFormatting>
  <conditionalFormatting sqref="F26">
    <cfRule type="cellIs" priority="6" operator="lessThan" aboveAverage="0" equalAverage="0" bottom="0" percent="0" rank="0" text="" dxfId="0">
      <formula>0</formula>
    </cfRule>
    <cfRule type="cellIs" priority="7" operator="greaterThan" aboveAverage="0" equalAverage="0" bottom="0" percent="0" rank="0" text="" dxfId="1">
      <formula>0</formula>
    </cfRule>
  </conditionalFormatting>
  <conditionalFormatting sqref="G26">
    <cfRule type="cellIs" priority="8" operator="lessThan" aboveAverage="0" equalAverage="0" bottom="0" percent="0" rank="0" text="" dxfId="0">
      <formula>0</formula>
    </cfRule>
    <cfRule type="cellIs" priority="9" operator="greaterThan" aboveAverage="0" equalAverage="0" bottom="0" percent="0" rank="0" text="" dxfId="1">
      <formula>0</formula>
    </cfRule>
  </conditionalFormatting>
  <conditionalFormatting sqref="H26">
    <cfRule type="cellIs" priority="10" operator="lessThan" aboveAverage="0" equalAverage="0" bottom="0" percent="0" rank="0" text="" dxfId="0">
      <formula>0</formula>
    </cfRule>
    <cfRule type="cellIs" priority="11" operator="greaterThan" aboveAverage="0" equalAverage="0" bottom="0" percent="0" rank="0" text="" dxfId="1">
      <formula>0</formula>
    </cfRule>
  </conditionalFormatting>
  <conditionalFormatting sqref="I26">
    <cfRule type="cellIs" priority="12" operator="lessThan" aboveAverage="0" equalAverage="0" bottom="0" percent="0" rank="0" text="" dxfId="0">
      <formula>0</formula>
    </cfRule>
    <cfRule type="cellIs" priority="13" operator="greaterThan" aboveAverage="0" equalAverage="0" bottom="0" percent="0" rank="0" text="" dxfId="1">
      <formula>0</formula>
    </cfRule>
  </conditionalFormatting>
  <conditionalFormatting sqref="J26">
    <cfRule type="cellIs" priority="14" operator="lessThan" aboveAverage="0" equalAverage="0" bottom="0" percent="0" rank="0" text="" dxfId="0">
      <formula>0</formula>
    </cfRule>
    <cfRule type="cellIs" priority="15" operator="greaterThan" aboveAverage="0" equalAverage="0" bottom="0" percent="0" rank="0" text="" dxfId="1">
      <formula>0</formula>
    </cfRule>
  </conditionalFormatting>
  <conditionalFormatting sqref="K26">
    <cfRule type="cellIs" priority="16" operator="lessThan" aboveAverage="0" equalAverage="0" bottom="0" percent="0" rank="0" text="" dxfId="0">
      <formula>0</formula>
    </cfRule>
    <cfRule type="cellIs" priority="17" operator="greaterThan" aboveAverage="0" equalAverage="0" bottom="0" percent="0" rank="0" text="" dxfId="1">
      <formula>0</formula>
    </cfRule>
  </conditionalFormatting>
  <conditionalFormatting sqref="L26">
    <cfRule type="cellIs" priority="18" operator="lessThan" aboveAverage="0" equalAverage="0" bottom="0" percent="0" rank="0" text="" dxfId="0">
      <formula>0</formula>
    </cfRule>
    <cfRule type="cellIs" priority="19" operator="greaterThan" aboveAverage="0" equalAverage="0" bottom="0" percent="0" rank="0" text="" dxfId="1">
      <formula>0</formula>
    </cfRule>
  </conditionalFormatting>
  <conditionalFormatting sqref="M26">
    <cfRule type="cellIs" priority="20" operator="lessThan" aboveAverage="0" equalAverage="0" bottom="0" percent="0" rank="0" text="" dxfId="0">
      <formula>0</formula>
    </cfRule>
    <cfRule type="cellIs" priority="21" operator="greaterThan" aboveAverage="0" equalAverage="0" bottom="0" percent="0" rank="0" text="" dxfId="1">
      <formula>0</formula>
    </cfRule>
  </conditionalFormatting>
  <conditionalFormatting sqref="N26">
    <cfRule type="cellIs" priority="22" operator="lessThan" aboveAverage="0" equalAverage="0" bottom="0" percent="0" rank="0" text="" dxfId="0">
      <formula>0</formula>
    </cfRule>
    <cfRule type="cellIs" priority="23" operator="greaterThan" aboveAverage="0" equalAverage="0" bottom="0" percent="0" rank="0" text="" dxfId="1">
      <formula>0</formula>
    </cfRule>
  </conditionalFormatting>
  <conditionalFormatting sqref="O26">
    <cfRule type="cellIs" priority="24" operator="lessThan" aboveAverage="0" equalAverage="0" bottom="0" percent="0" rank="0" text="" dxfId="0">
      <formula>0</formula>
    </cfRule>
    <cfRule type="cellIs" priority="25" operator="greaterThan" aboveAverage="0" equalAverage="0" bottom="0" percent="0" rank="0" text="" dxfId="1">
      <formula>0</formula>
    </cfRule>
  </conditionalFormatting>
  <conditionalFormatting sqref="P26">
    <cfRule type="cellIs" priority="26" operator="lessThan" aboveAverage="0" equalAverage="0" bottom="0" percent="0" rank="0" text="" dxfId="0">
      <formula>0</formula>
    </cfRule>
    <cfRule type="cellIs" priority="27" operator="greaterThan" aboveAverage="0" equalAverage="0" bottom="0" percent="0" rank="0" text="" dxfId="1">
      <formula>0</formula>
    </cfRule>
  </conditionalFormatting>
  <conditionalFormatting sqref="D27">
    <cfRule type="expression" priority="28" aboveAverage="0" equalAverage="0" bottom="0" percent="0" rank="0" text="" dxfId="0">
      <formula>D27&lt;F3</formula>
    </cfRule>
    <cfRule type="expression" priority="29" aboveAverage="0" equalAverage="0" bottom="0" percent="0" rank="0" text="" dxfId="2">
      <formula>AND(D27&gt;=F3,D27&lt;F3*1.2)</formula>
    </cfRule>
    <cfRule type="expression" priority="30" aboveAverage="0" equalAverage="0" bottom="0" percent="0" rank="0" text="" dxfId="1">
      <formula>D27&gt;=F3*1.2</formula>
    </cfRule>
  </conditionalFormatting>
  <conditionalFormatting sqref="E27">
    <cfRule type="expression" priority="31" aboveAverage="0" equalAverage="0" bottom="0" percent="0" rank="0" text="" dxfId="0">
      <formula>E27&lt;F3</formula>
    </cfRule>
    <cfRule type="expression" priority="32" aboveAverage="0" equalAverage="0" bottom="0" percent="0" rank="0" text="" dxfId="2">
      <formula>AND(E27&gt;=F3,E27&lt;F3*1.2)</formula>
    </cfRule>
    <cfRule type="expression" priority="33" aboveAverage="0" equalAverage="0" bottom="0" percent="0" rank="0" text="" dxfId="1">
      <formula>E27&gt;=F3*1.2</formula>
    </cfRule>
  </conditionalFormatting>
  <conditionalFormatting sqref="F27">
    <cfRule type="expression" priority="34" aboveAverage="0" equalAverage="0" bottom="0" percent="0" rank="0" text="" dxfId="0">
      <formula>F27&lt;F3</formula>
    </cfRule>
    <cfRule type="expression" priority="35" aboveAverage="0" equalAverage="0" bottom="0" percent="0" rank="0" text="" dxfId="2">
      <formula>AND(F27&gt;=F3,F27&lt;F3*1.2)</formula>
    </cfRule>
    <cfRule type="expression" priority="36" aboveAverage="0" equalAverage="0" bottom="0" percent="0" rank="0" text="" dxfId="1">
      <formula>F27&gt;=F3*1.2</formula>
    </cfRule>
  </conditionalFormatting>
  <conditionalFormatting sqref="G27">
    <cfRule type="expression" priority="37" aboveAverage="0" equalAverage="0" bottom="0" percent="0" rank="0" text="" dxfId="0">
      <formula>G27&lt;F3</formula>
    </cfRule>
    <cfRule type="expression" priority="38" aboveAverage="0" equalAverage="0" bottom="0" percent="0" rank="0" text="" dxfId="2">
      <formula>AND(G27&gt;=F3,G27&lt;F3*1.2)</formula>
    </cfRule>
    <cfRule type="expression" priority="39" aboveAverage="0" equalAverage="0" bottom="0" percent="0" rank="0" text="" dxfId="1">
      <formula>G27&gt;=F3*1.2</formula>
    </cfRule>
  </conditionalFormatting>
  <conditionalFormatting sqref="H27">
    <cfRule type="expression" priority="40" aboveAverage="0" equalAverage="0" bottom="0" percent="0" rank="0" text="" dxfId="0">
      <formula>H27&lt;F3</formula>
    </cfRule>
    <cfRule type="expression" priority="41" aboveAverage="0" equalAverage="0" bottom="0" percent="0" rank="0" text="" dxfId="2">
      <formula>AND(H27&gt;=F3,H27&lt;F3*1.2)</formula>
    </cfRule>
    <cfRule type="expression" priority="42" aboveAverage="0" equalAverage="0" bottom="0" percent="0" rank="0" text="" dxfId="1">
      <formula>H27&gt;=F3*1.2</formula>
    </cfRule>
  </conditionalFormatting>
  <conditionalFormatting sqref="I27">
    <cfRule type="expression" priority="43" aboveAverage="0" equalAverage="0" bottom="0" percent="0" rank="0" text="" dxfId="0">
      <formula>I27&lt;F3</formula>
    </cfRule>
    <cfRule type="expression" priority="44" aboveAverage="0" equalAverage="0" bottom="0" percent="0" rank="0" text="" dxfId="2">
      <formula>AND(I27&gt;=F3,I27&lt;F3*1.2)</formula>
    </cfRule>
    <cfRule type="expression" priority="45" aboveAverage="0" equalAverage="0" bottom="0" percent="0" rank="0" text="" dxfId="1">
      <formula>I27&gt;=F3*1.2</formula>
    </cfRule>
  </conditionalFormatting>
  <conditionalFormatting sqref="J27">
    <cfRule type="expression" priority="46" aboveAverage="0" equalAverage="0" bottom="0" percent="0" rank="0" text="" dxfId="0">
      <formula>J27&lt;F3</formula>
    </cfRule>
    <cfRule type="expression" priority="47" aboveAverage="0" equalAverage="0" bottom="0" percent="0" rank="0" text="" dxfId="2">
      <formula>AND(J27&gt;=F3,J27&lt;F3*1.2)</formula>
    </cfRule>
    <cfRule type="expression" priority="48" aboveAverage="0" equalAverage="0" bottom="0" percent="0" rank="0" text="" dxfId="1">
      <formula>J27&gt;=F3*1.2</formula>
    </cfRule>
  </conditionalFormatting>
  <conditionalFormatting sqref="K27">
    <cfRule type="expression" priority="49" aboveAverage="0" equalAverage="0" bottom="0" percent="0" rank="0" text="" dxfId="0">
      <formula>K27&lt;F3</formula>
    </cfRule>
    <cfRule type="expression" priority="50" aboveAverage="0" equalAverage="0" bottom="0" percent="0" rank="0" text="" dxfId="2">
      <formula>AND(K27&gt;=F3,K27&lt;F3*1.2)</formula>
    </cfRule>
    <cfRule type="expression" priority="51" aboveAverage="0" equalAverage="0" bottom="0" percent="0" rank="0" text="" dxfId="1">
      <formula>K27&gt;=F3*1.2</formula>
    </cfRule>
  </conditionalFormatting>
  <conditionalFormatting sqref="L27">
    <cfRule type="expression" priority="52" aboveAverage="0" equalAverage="0" bottom="0" percent="0" rank="0" text="" dxfId="0">
      <formula>L27&lt;F3</formula>
    </cfRule>
    <cfRule type="expression" priority="53" aboveAverage="0" equalAverage="0" bottom="0" percent="0" rank="0" text="" dxfId="2">
      <formula>AND(L27&gt;=F3,L27&lt;F3*1.2)</formula>
    </cfRule>
    <cfRule type="expression" priority="54" aboveAverage="0" equalAverage="0" bottom="0" percent="0" rank="0" text="" dxfId="1">
      <formula>L27&gt;=F3*1.2</formula>
    </cfRule>
  </conditionalFormatting>
  <conditionalFormatting sqref="M27">
    <cfRule type="expression" priority="55" aboveAverage="0" equalAverage="0" bottom="0" percent="0" rank="0" text="" dxfId="0">
      <formula>M27&lt;F3</formula>
    </cfRule>
    <cfRule type="expression" priority="56" aboveAverage="0" equalAverage="0" bottom="0" percent="0" rank="0" text="" dxfId="2">
      <formula>AND(M27&gt;=F3,M27&lt;F3*1.2)</formula>
    </cfRule>
    <cfRule type="expression" priority="57" aboveAverage="0" equalAverage="0" bottom="0" percent="0" rank="0" text="" dxfId="1">
      <formula>M27&gt;=F3*1.2</formula>
    </cfRule>
  </conditionalFormatting>
  <conditionalFormatting sqref="N27">
    <cfRule type="expression" priority="58" aboveAverage="0" equalAverage="0" bottom="0" percent="0" rank="0" text="" dxfId="0">
      <formula>N27&lt;F3</formula>
    </cfRule>
    <cfRule type="expression" priority="59" aboveAverage="0" equalAverage="0" bottom="0" percent="0" rank="0" text="" dxfId="2">
      <formula>AND(N27&gt;=F3,N27&lt;F3*1.2)</formula>
    </cfRule>
    <cfRule type="expression" priority="60" aboveAverage="0" equalAverage="0" bottom="0" percent="0" rank="0" text="" dxfId="1">
      <formula>N27&gt;=F3*1.2</formula>
    </cfRule>
  </conditionalFormatting>
  <conditionalFormatting sqref="O27">
    <cfRule type="expression" priority="61" aboveAverage="0" equalAverage="0" bottom="0" percent="0" rank="0" text="" dxfId="0">
      <formula>O27&lt;F3</formula>
    </cfRule>
    <cfRule type="expression" priority="62" aboveAverage="0" equalAverage="0" bottom="0" percent="0" rank="0" text="" dxfId="2">
      <formula>AND(O27&gt;=F3,O27&lt;F3*1.2)</formula>
    </cfRule>
    <cfRule type="expression" priority="63" aboveAverage="0" equalAverage="0" bottom="0" percent="0" rank="0" text="" dxfId="1">
      <formula>O27&gt;=F3*1.2</formula>
    </cfRule>
  </conditionalFormatting>
  <conditionalFormatting sqref="P27">
    <cfRule type="expression" priority="64" aboveAverage="0" equalAverage="0" bottom="0" percent="0" rank="0" text="" dxfId="0">
      <formula>P27&lt;F3</formula>
    </cfRule>
    <cfRule type="expression" priority="65" aboveAverage="0" equalAverage="0" bottom="0" percent="0" rank="0" text="" dxfId="2">
      <formula>AND(P27&gt;=F3,P27&lt;F3*1.2)</formula>
    </cfRule>
    <cfRule type="expression" priority="66" aboveAverage="0" equalAverage="0" bottom="0" percent="0" rank="0" text="" dxfId="1">
      <formula>P27&gt;=F3*1.2</formula>
    </cfRule>
  </conditionalFormatting>
  <conditionalFormatting sqref="E36">
    <cfRule type="cellIs" priority="67" operator="lessThan" aboveAverage="0" equalAverage="0" bottom="0" percent="0" rank="0" text="" dxfId="0">
      <formula>0</formula>
    </cfRule>
  </conditionalFormatting>
  <conditionalFormatting sqref="E38">
    <cfRule type="cellIs" priority="68" operator="greaterThan" aboveAverage="0" equalAverage="0" bottom="0" percent="0" rank="0" text="" dxfId="0">
      <formula>0</formula>
    </cfRule>
    <cfRule type="cellIs" priority="69"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
    <col collapsed="false" customWidth="true" hidden="false" outlineLevel="0" max="3" min="3" style="0" width="30"/>
    <col collapsed="false" customWidth="true" hidden="false" outlineLevel="0" max="16" min="4" style="0" width="13"/>
  </cols>
  <sheetData>
    <row r="1" customFormat="false" ht="36" hidden="false" customHeight="true" outlineLevel="0" collapsed="false">
      <c r="A1" s="1" t="s">
        <v>114</v>
      </c>
      <c r="B1" s="1"/>
      <c r="C1" s="1"/>
      <c r="D1" s="1"/>
      <c r="E1" s="1"/>
      <c r="F1" s="1"/>
      <c r="G1" s="1"/>
      <c r="H1" s="1"/>
      <c r="I1" s="1"/>
      <c r="J1" s="1"/>
      <c r="K1" s="1"/>
      <c r="L1" s="1"/>
      <c r="M1" s="1"/>
      <c r="N1" s="1"/>
      <c r="O1" s="1"/>
      <c r="P1" s="1"/>
    </row>
    <row r="2" customFormat="false" ht="19.5" hidden="false" customHeight="true" outlineLevel="0" collapsed="false">
      <c r="A2" s="2" t="s">
        <v>48</v>
      </c>
      <c r="B2" s="3"/>
      <c r="D2" s="2" t="s">
        <v>49</v>
      </c>
      <c r="E2" s="3"/>
      <c r="G2" s="2" t="s">
        <v>50</v>
      </c>
      <c r="H2" s="3"/>
      <c r="J2" s="2" t="s">
        <v>4</v>
      </c>
      <c r="K2" s="3"/>
    </row>
    <row r="3" customFormat="false" ht="21.75" hidden="false" customHeight="true" outlineLevel="0" collapsed="false">
      <c r="A3" s="38" t="s">
        <v>51</v>
      </c>
      <c r="B3" s="5" t="n">
        <v>0</v>
      </c>
      <c r="E3" s="4" t="s">
        <v>52</v>
      </c>
      <c r="F3" s="5" t="n">
        <v>5000</v>
      </c>
      <c r="G3" s="6" t="s">
        <v>53</v>
      </c>
      <c r="H3" s="6"/>
      <c r="I3" s="6"/>
      <c r="J3" s="6"/>
      <c r="K3" s="6"/>
      <c r="L3" s="6"/>
      <c r="M3" s="6"/>
      <c r="N3" s="6"/>
      <c r="O3" s="6"/>
      <c r="P3" s="6"/>
    </row>
    <row r="5" customFormat="false" ht="18" hidden="false" customHeight="true" outlineLevel="0" collapsed="false">
      <c r="A5" s="7" t="s">
        <v>54</v>
      </c>
      <c r="B5" s="7"/>
      <c r="C5" s="8" t="s">
        <v>55</v>
      </c>
      <c r="D5" s="9" t="s">
        <v>56</v>
      </c>
      <c r="E5" s="9" t="s">
        <v>57</v>
      </c>
      <c r="F5" s="9" t="s">
        <v>58</v>
      </c>
      <c r="G5" s="9" t="s">
        <v>59</v>
      </c>
      <c r="H5" s="9" t="s">
        <v>60</v>
      </c>
      <c r="I5" s="9" t="s">
        <v>61</v>
      </c>
      <c r="J5" s="9" t="s">
        <v>62</v>
      </c>
      <c r="K5" s="9" t="s">
        <v>63</v>
      </c>
      <c r="L5" s="9" t="s">
        <v>64</v>
      </c>
      <c r="M5" s="9" t="s">
        <v>65</v>
      </c>
      <c r="N5" s="9" t="s">
        <v>66</v>
      </c>
      <c r="O5" s="9" t="s">
        <v>67</v>
      </c>
      <c r="P5" s="9" t="s">
        <v>68</v>
      </c>
    </row>
    <row r="6" customFormat="false" ht="18" hidden="false" customHeight="true" outlineLevel="0" collapsed="false">
      <c r="A6" s="10" t="s">
        <v>22</v>
      </c>
      <c r="B6" s="10"/>
      <c r="C6" s="39"/>
      <c r="D6" s="40"/>
      <c r="E6" s="40"/>
      <c r="F6" s="40"/>
      <c r="G6" s="40"/>
      <c r="H6" s="40"/>
      <c r="I6" s="40"/>
      <c r="J6" s="40"/>
      <c r="K6" s="40"/>
      <c r="L6" s="40"/>
      <c r="M6" s="40"/>
      <c r="N6" s="40"/>
      <c r="O6" s="40"/>
      <c r="P6" s="40"/>
    </row>
    <row r="7" customFormat="false" ht="3.75" hidden="false" customHeight="true" outlineLevel="0" collapsed="false"/>
    <row r="8" customFormat="false" ht="19.5" hidden="false" customHeight="true" outlineLevel="0" collapsed="false">
      <c r="A8" s="27" t="s">
        <v>69</v>
      </c>
      <c r="B8" s="27"/>
      <c r="C8" s="27"/>
      <c r="D8" s="27"/>
      <c r="E8" s="27"/>
      <c r="F8" s="27"/>
      <c r="G8" s="27"/>
      <c r="H8" s="27"/>
      <c r="I8" s="27"/>
      <c r="J8" s="27"/>
      <c r="K8" s="27"/>
      <c r="L8" s="27"/>
      <c r="M8" s="27"/>
      <c r="N8" s="27"/>
      <c r="O8" s="27"/>
      <c r="P8" s="27"/>
    </row>
    <row r="9" customFormat="false" ht="18" hidden="false" customHeight="true" outlineLevel="0" collapsed="false">
      <c r="A9" s="41" t="s">
        <v>70</v>
      </c>
      <c r="B9" s="41"/>
      <c r="C9" s="42" t="s">
        <v>71</v>
      </c>
      <c r="D9" s="43"/>
      <c r="E9" s="43"/>
      <c r="F9" s="43"/>
      <c r="G9" s="43"/>
      <c r="H9" s="43"/>
      <c r="I9" s="43"/>
      <c r="J9" s="43"/>
      <c r="K9" s="43"/>
      <c r="L9" s="43"/>
      <c r="M9" s="43"/>
      <c r="N9" s="43"/>
      <c r="O9" s="43"/>
      <c r="P9" s="43"/>
    </row>
    <row r="10" customFormat="false" ht="18" hidden="false" customHeight="true" outlineLevel="0" collapsed="false">
      <c r="A10" s="44" t="s">
        <v>72</v>
      </c>
      <c r="B10" s="44"/>
      <c r="C10" s="42" t="s">
        <v>73</v>
      </c>
      <c r="D10" s="45"/>
      <c r="E10" s="45"/>
      <c r="F10" s="45"/>
      <c r="G10" s="45"/>
      <c r="H10" s="45"/>
      <c r="I10" s="45"/>
      <c r="J10" s="45"/>
      <c r="K10" s="45"/>
      <c r="L10" s="45"/>
      <c r="M10" s="45"/>
      <c r="N10" s="45"/>
      <c r="O10" s="45"/>
      <c r="P10" s="45"/>
    </row>
    <row r="11" customFormat="false" ht="18" hidden="false" customHeight="true" outlineLevel="0" collapsed="false">
      <c r="A11" s="41" t="s">
        <v>74</v>
      </c>
      <c r="B11" s="41"/>
      <c r="C11" s="42" t="s">
        <v>75</v>
      </c>
      <c r="D11" s="43"/>
      <c r="E11" s="43"/>
      <c r="F11" s="43"/>
      <c r="G11" s="43"/>
      <c r="H11" s="43"/>
      <c r="I11" s="43"/>
      <c r="J11" s="43"/>
      <c r="K11" s="43"/>
      <c r="L11" s="43"/>
      <c r="M11" s="43"/>
      <c r="N11" s="43"/>
      <c r="O11" s="43"/>
      <c r="P11" s="43"/>
    </row>
    <row r="12" customFormat="false" ht="18" hidden="false" customHeight="true" outlineLevel="0" collapsed="false">
      <c r="A12" s="44" t="s">
        <v>76</v>
      </c>
      <c r="B12" s="44"/>
      <c r="C12" s="42" t="s">
        <v>77</v>
      </c>
      <c r="D12" s="45"/>
      <c r="E12" s="45"/>
      <c r="F12" s="45"/>
      <c r="G12" s="45"/>
      <c r="H12" s="45"/>
      <c r="I12" s="45"/>
      <c r="J12" s="45"/>
      <c r="K12" s="45"/>
      <c r="L12" s="45"/>
      <c r="M12" s="45"/>
      <c r="N12" s="45"/>
      <c r="O12" s="45"/>
      <c r="P12" s="45"/>
    </row>
    <row r="13" customFormat="false" ht="19.5" hidden="false" customHeight="true" outlineLevel="0" collapsed="false">
      <c r="A13" s="27" t="s">
        <v>78</v>
      </c>
      <c r="B13" s="27"/>
      <c r="C13" s="46"/>
      <c r="D13" s="28" t="n">
        <f aca="false">SUM(D9:D12)</f>
        <v>0</v>
      </c>
      <c r="E13" s="28" t="n">
        <f aca="false">SUM(E9:E12)</f>
        <v>0</v>
      </c>
      <c r="F13" s="28" t="n">
        <f aca="false">SUM(F9:F12)</f>
        <v>0</v>
      </c>
      <c r="G13" s="28" t="n">
        <f aca="false">SUM(G9:G12)</f>
        <v>0</v>
      </c>
      <c r="H13" s="28" t="n">
        <f aca="false">SUM(H9:H12)</f>
        <v>0</v>
      </c>
      <c r="I13" s="28" t="n">
        <f aca="false">SUM(I9:I12)</f>
        <v>0</v>
      </c>
      <c r="J13" s="28" t="n">
        <f aca="false">SUM(J9:J12)</f>
        <v>0</v>
      </c>
      <c r="K13" s="28" t="n">
        <f aca="false">SUM(K9:K12)</f>
        <v>0</v>
      </c>
      <c r="L13" s="28" t="n">
        <f aca="false">SUM(L9:L12)</f>
        <v>0</v>
      </c>
      <c r="M13" s="28" t="n">
        <f aca="false">SUM(M9:M12)</f>
        <v>0</v>
      </c>
      <c r="N13" s="28" t="n">
        <f aca="false">SUM(N9:N12)</f>
        <v>0</v>
      </c>
      <c r="O13" s="28" t="n">
        <f aca="false">SUM(O9:O12)</f>
        <v>0</v>
      </c>
      <c r="P13" s="28" t="n">
        <f aca="false">SUM(P9:P12)</f>
        <v>0</v>
      </c>
    </row>
    <row r="14" customFormat="false" ht="3.75" hidden="false" customHeight="true" outlineLevel="0" collapsed="false"/>
    <row r="15" customFormat="false" ht="19.5" hidden="false" customHeight="true" outlineLevel="0" collapsed="false">
      <c r="A15" s="29" t="s">
        <v>79</v>
      </c>
      <c r="B15" s="29"/>
      <c r="C15" s="29"/>
      <c r="D15" s="29"/>
      <c r="E15" s="29"/>
      <c r="F15" s="29"/>
      <c r="G15" s="29"/>
      <c r="H15" s="29"/>
      <c r="I15" s="29"/>
      <c r="J15" s="29"/>
      <c r="K15" s="29"/>
      <c r="L15" s="29"/>
      <c r="M15" s="29"/>
      <c r="N15" s="29"/>
      <c r="O15" s="29"/>
      <c r="P15" s="29"/>
    </row>
    <row r="16" customFormat="false" ht="18" hidden="false" customHeight="true" outlineLevel="0" collapsed="false">
      <c r="A16" s="44" t="s">
        <v>80</v>
      </c>
      <c r="B16" s="44"/>
      <c r="C16" s="42" t="s">
        <v>81</v>
      </c>
      <c r="D16" s="45"/>
      <c r="E16" s="45"/>
      <c r="F16" s="45"/>
      <c r="G16" s="45"/>
      <c r="H16" s="45"/>
      <c r="I16" s="45"/>
      <c r="J16" s="45"/>
      <c r="K16" s="45"/>
      <c r="L16" s="45"/>
      <c r="M16" s="45"/>
      <c r="N16" s="45"/>
      <c r="O16" s="45"/>
      <c r="P16" s="45"/>
    </row>
    <row r="17" customFormat="false" ht="18" hidden="false" customHeight="true" outlineLevel="0" collapsed="false">
      <c r="A17" s="18" t="s">
        <v>82</v>
      </c>
      <c r="B17" s="18"/>
      <c r="C17" s="42" t="s">
        <v>83</v>
      </c>
      <c r="D17" s="47"/>
      <c r="E17" s="47"/>
      <c r="F17" s="47"/>
      <c r="G17" s="47"/>
      <c r="H17" s="47"/>
      <c r="I17" s="47"/>
      <c r="J17" s="47"/>
      <c r="K17" s="47"/>
      <c r="L17" s="47"/>
      <c r="M17" s="47"/>
      <c r="N17" s="47"/>
      <c r="O17" s="47"/>
      <c r="P17" s="47"/>
    </row>
    <row r="18" customFormat="false" ht="18" hidden="false" customHeight="true" outlineLevel="0" collapsed="false">
      <c r="A18" s="44" t="s">
        <v>84</v>
      </c>
      <c r="B18" s="44"/>
      <c r="C18" s="42" t="s">
        <v>85</v>
      </c>
      <c r="D18" s="45"/>
      <c r="E18" s="45"/>
      <c r="F18" s="45"/>
      <c r="G18" s="45"/>
      <c r="H18" s="45"/>
      <c r="I18" s="45"/>
      <c r="J18" s="45"/>
      <c r="K18" s="45"/>
      <c r="L18" s="45"/>
      <c r="M18" s="45"/>
      <c r="N18" s="45"/>
      <c r="O18" s="45"/>
      <c r="P18" s="45"/>
    </row>
    <row r="19" customFormat="false" ht="18" hidden="false" customHeight="true" outlineLevel="0" collapsed="false">
      <c r="A19" s="18" t="s">
        <v>86</v>
      </c>
      <c r="B19" s="18"/>
      <c r="C19" s="42" t="s">
        <v>87</v>
      </c>
      <c r="D19" s="47"/>
      <c r="E19" s="47"/>
      <c r="F19" s="47"/>
      <c r="G19" s="47"/>
      <c r="H19" s="47"/>
      <c r="I19" s="47"/>
      <c r="J19" s="47"/>
      <c r="K19" s="47"/>
      <c r="L19" s="47"/>
      <c r="M19" s="47"/>
      <c r="N19" s="47"/>
      <c r="O19" s="47"/>
      <c r="P19" s="47"/>
    </row>
    <row r="20" customFormat="false" ht="18" hidden="false" customHeight="true" outlineLevel="0" collapsed="false">
      <c r="A20" s="44" t="s">
        <v>88</v>
      </c>
      <c r="B20" s="44"/>
      <c r="C20" s="42" t="s">
        <v>89</v>
      </c>
      <c r="D20" s="45"/>
      <c r="E20" s="45"/>
      <c r="F20" s="45"/>
      <c r="G20" s="45"/>
      <c r="H20" s="45"/>
      <c r="I20" s="45"/>
      <c r="J20" s="45"/>
      <c r="K20" s="45"/>
      <c r="L20" s="45"/>
      <c r="M20" s="45"/>
      <c r="N20" s="45"/>
      <c r="O20" s="45"/>
      <c r="P20" s="45"/>
    </row>
    <row r="21" customFormat="false" ht="18" hidden="false" customHeight="true" outlineLevel="0" collapsed="false">
      <c r="A21" s="18" t="s">
        <v>90</v>
      </c>
      <c r="B21" s="18"/>
      <c r="C21" s="42" t="s">
        <v>91</v>
      </c>
      <c r="D21" s="47"/>
      <c r="E21" s="47"/>
      <c r="F21" s="47"/>
      <c r="G21" s="47"/>
      <c r="H21" s="47"/>
      <c r="I21" s="47"/>
      <c r="J21" s="47"/>
      <c r="K21" s="47"/>
      <c r="L21" s="47"/>
      <c r="M21" s="47"/>
      <c r="N21" s="47"/>
      <c r="O21" s="47"/>
      <c r="P21" s="47"/>
    </row>
    <row r="22" customFormat="false" ht="18" hidden="false" customHeight="true" outlineLevel="0" collapsed="false">
      <c r="A22" s="44" t="s">
        <v>92</v>
      </c>
      <c r="B22" s="44"/>
      <c r="C22" s="42" t="s">
        <v>93</v>
      </c>
      <c r="D22" s="45"/>
      <c r="E22" s="45"/>
      <c r="F22" s="45"/>
      <c r="G22" s="45"/>
      <c r="H22" s="45"/>
      <c r="I22" s="45"/>
      <c r="J22" s="45"/>
      <c r="K22" s="45"/>
      <c r="L22" s="45"/>
      <c r="M22" s="45"/>
      <c r="N22" s="45"/>
      <c r="O22" s="45"/>
      <c r="P22" s="45"/>
    </row>
    <row r="23" customFormat="false" ht="18" hidden="false" customHeight="true" outlineLevel="0" collapsed="false">
      <c r="A23" s="18" t="s">
        <v>94</v>
      </c>
      <c r="B23" s="18"/>
      <c r="C23" s="42" t="s">
        <v>95</v>
      </c>
      <c r="D23" s="47"/>
      <c r="E23" s="47"/>
      <c r="F23" s="47"/>
      <c r="G23" s="47"/>
      <c r="H23" s="47"/>
      <c r="I23" s="47"/>
      <c r="J23" s="47"/>
      <c r="K23" s="47"/>
      <c r="L23" s="47"/>
      <c r="M23" s="47"/>
      <c r="N23" s="47"/>
      <c r="O23" s="47"/>
      <c r="P23" s="47"/>
    </row>
    <row r="24" customFormat="false" ht="19.5" hidden="false" customHeight="true" outlineLevel="0" collapsed="false">
      <c r="A24" s="29" t="s">
        <v>96</v>
      </c>
      <c r="B24" s="29"/>
      <c r="C24" s="48"/>
      <c r="D24" s="30" t="n">
        <f aca="false">SUM(D16:D23)</f>
        <v>0</v>
      </c>
      <c r="E24" s="30" t="n">
        <f aca="false">SUM(E16:E23)</f>
        <v>0</v>
      </c>
      <c r="F24" s="30" t="n">
        <f aca="false">SUM(F16:F23)</f>
        <v>0</v>
      </c>
      <c r="G24" s="30" t="n">
        <f aca="false">SUM(G16:G23)</f>
        <v>0</v>
      </c>
      <c r="H24" s="30" t="n">
        <f aca="false">SUM(H16:H23)</f>
        <v>0</v>
      </c>
      <c r="I24" s="30" t="n">
        <f aca="false">SUM(I16:I23)</f>
        <v>0</v>
      </c>
      <c r="J24" s="30" t="n">
        <f aca="false">SUM(J16:J23)</f>
        <v>0</v>
      </c>
      <c r="K24" s="30" t="n">
        <f aca="false">SUM(K16:K23)</f>
        <v>0</v>
      </c>
      <c r="L24" s="30" t="n">
        <f aca="false">SUM(L16:L23)</f>
        <v>0</v>
      </c>
      <c r="M24" s="30" t="n">
        <f aca="false">SUM(M16:M23)</f>
        <v>0</v>
      </c>
      <c r="N24" s="30" t="n">
        <f aca="false">SUM(N16:N23)</f>
        <v>0</v>
      </c>
      <c r="O24" s="30" t="n">
        <f aca="false">SUM(O16:O23)</f>
        <v>0</v>
      </c>
      <c r="P24" s="30" t="n">
        <f aca="false">SUM(P16:P23)</f>
        <v>0</v>
      </c>
    </row>
    <row r="25" customFormat="false" ht="3.75" hidden="false" customHeight="true" outlineLevel="0" collapsed="false"/>
    <row r="26" customFormat="false" ht="19.5" hidden="false" customHeight="true" outlineLevel="0" collapsed="false">
      <c r="A26" s="13" t="s">
        <v>97</v>
      </c>
      <c r="B26" s="13"/>
      <c r="C26" s="49"/>
      <c r="D26" s="22" t="n">
        <f aca="false">D13-D24</f>
        <v>0</v>
      </c>
      <c r="E26" s="22" t="n">
        <f aca="false">E13-E24</f>
        <v>0</v>
      </c>
      <c r="F26" s="22" t="n">
        <f aca="false">F13-F24</f>
        <v>0</v>
      </c>
      <c r="G26" s="22" t="n">
        <f aca="false">G13-G24</f>
        <v>0</v>
      </c>
      <c r="H26" s="22" t="n">
        <f aca="false">H13-H24</f>
        <v>0</v>
      </c>
      <c r="I26" s="22" t="n">
        <f aca="false">I13-I24</f>
        <v>0</v>
      </c>
      <c r="J26" s="22" t="n">
        <f aca="false">J13-J24</f>
        <v>0</v>
      </c>
      <c r="K26" s="22" t="n">
        <f aca="false">K13-K24</f>
        <v>0</v>
      </c>
      <c r="L26" s="22" t="n">
        <f aca="false">L13-L24</f>
        <v>0</v>
      </c>
      <c r="M26" s="22" t="n">
        <f aca="false">M13-M24</f>
        <v>0</v>
      </c>
      <c r="N26" s="22" t="n">
        <f aca="false">N13-N24</f>
        <v>0</v>
      </c>
      <c r="O26" s="22" t="n">
        <f aca="false">O13-O24</f>
        <v>0</v>
      </c>
      <c r="P26" s="22" t="n">
        <f aca="false">P13-P24</f>
        <v>0</v>
      </c>
    </row>
    <row r="27" customFormat="false" ht="19.5" hidden="false" customHeight="true" outlineLevel="0" collapsed="false">
      <c r="A27" s="14" t="s">
        <v>98</v>
      </c>
      <c r="B27" s="14"/>
      <c r="C27" s="50"/>
      <c r="D27" s="31" t="n">
        <f aca="false">B3+D26</f>
        <v>0</v>
      </c>
      <c r="E27" s="31" t="n">
        <f aca="false">D27+E26</f>
        <v>0</v>
      </c>
      <c r="F27" s="31" t="n">
        <f aca="false">E27+F26</f>
        <v>0</v>
      </c>
      <c r="G27" s="31" t="n">
        <f aca="false">F27+G26</f>
        <v>0</v>
      </c>
      <c r="H27" s="31" t="n">
        <f aca="false">G27+H26</f>
        <v>0</v>
      </c>
      <c r="I27" s="31" t="n">
        <f aca="false">H27+I26</f>
        <v>0</v>
      </c>
      <c r="J27" s="31" t="n">
        <f aca="false">I27+J26</f>
        <v>0</v>
      </c>
      <c r="K27" s="31" t="n">
        <f aca="false">J27+K26</f>
        <v>0</v>
      </c>
      <c r="L27" s="31" t="n">
        <f aca="false">K27+L26</f>
        <v>0</v>
      </c>
      <c r="M27" s="31" t="n">
        <f aca="false">L27+M26</f>
        <v>0</v>
      </c>
      <c r="N27" s="31" t="n">
        <f aca="false">M27+N26</f>
        <v>0</v>
      </c>
      <c r="O27" s="31" t="n">
        <f aca="false">N27+O26</f>
        <v>0</v>
      </c>
      <c r="P27" s="31" t="n">
        <f aca="false">O27+P26</f>
        <v>0</v>
      </c>
    </row>
    <row r="28" customFormat="false" ht="18" hidden="false" customHeight="true" outlineLevel="0" collapsed="false">
      <c r="A28" s="32" t="s">
        <v>99</v>
      </c>
      <c r="B28" s="32"/>
      <c r="C28" s="32"/>
      <c r="D28" s="32"/>
      <c r="E28" s="32"/>
      <c r="F28" s="32"/>
      <c r="G28" s="32"/>
      <c r="H28" s="32"/>
      <c r="I28" s="32"/>
      <c r="J28" s="32"/>
      <c r="K28" s="32"/>
      <c r="L28" s="32"/>
      <c r="M28" s="32"/>
      <c r="N28" s="32"/>
      <c r="O28" s="32"/>
      <c r="P28" s="32"/>
    </row>
    <row r="29" customFormat="false" ht="6" hidden="false" customHeight="true" outlineLevel="0" collapsed="false"/>
    <row r="30" customFormat="false" ht="19.5" hidden="false" customHeight="true" outlineLevel="0" collapsed="false">
      <c r="A30" s="13" t="s">
        <v>100</v>
      </c>
      <c r="B30" s="13"/>
      <c r="C30" s="13"/>
      <c r="D30" s="13"/>
      <c r="E30" s="13"/>
      <c r="F30" s="13"/>
      <c r="G30" s="13"/>
      <c r="H30" s="13"/>
      <c r="I30" s="13"/>
      <c r="J30" s="13"/>
      <c r="K30" s="13"/>
      <c r="L30" s="13"/>
      <c r="M30" s="13"/>
      <c r="N30" s="13"/>
      <c r="O30" s="13"/>
      <c r="P30" s="13"/>
    </row>
    <row r="31" customFormat="false" ht="18" hidden="false" customHeight="true" outlineLevel="0" collapsed="false">
      <c r="A31" s="33" t="s">
        <v>101</v>
      </c>
      <c r="B31" s="33"/>
      <c r="C31" s="33"/>
      <c r="D31" s="33"/>
      <c r="E31" s="34" t="n">
        <f aca="false">B3</f>
        <v>0</v>
      </c>
    </row>
    <row r="32" customFormat="false" ht="18" hidden="false" customHeight="true" outlineLevel="0" collapsed="false">
      <c r="A32" s="35" t="s">
        <v>102</v>
      </c>
      <c r="B32" s="35"/>
      <c r="C32" s="35"/>
      <c r="D32" s="35"/>
      <c r="E32" s="34" t="n">
        <f aca="false">SUM(D13:P13)</f>
        <v>0</v>
      </c>
    </row>
    <row r="33" customFormat="false" ht="18" hidden="false" customHeight="true" outlineLevel="0" collapsed="false">
      <c r="A33" s="33" t="s">
        <v>103</v>
      </c>
      <c r="B33" s="33"/>
      <c r="C33" s="33"/>
      <c r="D33" s="33"/>
      <c r="E33" s="34" t="n">
        <f aca="false">SUM(D24:P24)</f>
        <v>0</v>
      </c>
    </row>
    <row r="34" customFormat="false" ht="18" hidden="false" customHeight="true" outlineLevel="0" collapsed="false">
      <c r="A34" s="35" t="s">
        <v>104</v>
      </c>
      <c r="B34" s="35"/>
      <c r="C34" s="35"/>
      <c r="D34" s="35"/>
      <c r="E34" s="34" t="n">
        <f aca="false">SUM(D26:P26)</f>
        <v>0</v>
      </c>
    </row>
    <row r="35" customFormat="false" ht="18" hidden="false" customHeight="true" outlineLevel="0" collapsed="false">
      <c r="A35" s="33" t="s">
        <v>105</v>
      </c>
      <c r="B35" s="33"/>
      <c r="C35" s="33"/>
      <c r="D35" s="33"/>
      <c r="E35" s="34" t="n">
        <f aca="false">P27</f>
        <v>0</v>
      </c>
    </row>
    <row r="36" customFormat="false" ht="18" hidden="false" customHeight="true" outlineLevel="0" collapsed="false">
      <c r="A36" s="35" t="s">
        <v>106</v>
      </c>
      <c r="B36" s="35"/>
      <c r="C36" s="35"/>
      <c r="D36" s="35"/>
      <c r="E36" s="34" t="n">
        <f aca="false">MIN(D27:P27)</f>
        <v>0</v>
      </c>
    </row>
    <row r="37" customFormat="false" ht="18" hidden="false" customHeight="true" outlineLevel="0" collapsed="false">
      <c r="A37" s="33" t="s">
        <v>107</v>
      </c>
      <c r="B37" s="33"/>
      <c r="C37" s="33"/>
      <c r="D37" s="33"/>
      <c r="E37" s="34" t="n">
        <f aca="false">MAX(D27:P27)</f>
        <v>0</v>
      </c>
    </row>
    <row r="38" customFormat="false" ht="18" hidden="false" customHeight="true" outlineLevel="0" collapsed="false">
      <c r="A38" s="35" t="s">
        <v>108</v>
      </c>
      <c r="B38" s="35"/>
      <c r="C38" s="35"/>
      <c r="D38" s="35"/>
      <c r="E38" s="36" t="n">
        <f aca="false">COUNTIF(D27:P27,"&lt;"&amp;F3)</f>
        <v>13</v>
      </c>
    </row>
    <row r="39" customFormat="false" ht="18" hidden="false" customHeight="true" outlineLevel="0" collapsed="false">
      <c r="A39" s="33" t="s">
        <v>109</v>
      </c>
      <c r="B39" s="33"/>
      <c r="C39" s="33"/>
      <c r="D39" s="33"/>
      <c r="E39" s="34" t="n">
        <f aca="false">SUM(D9:P9)</f>
        <v>0</v>
      </c>
    </row>
    <row r="40" customFormat="false" ht="18" hidden="false" customHeight="true" outlineLevel="0" collapsed="false">
      <c r="A40" s="35" t="s">
        <v>110</v>
      </c>
      <c r="B40" s="35"/>
      <c r="C40" s="35"/>
      <c r="D40" s="35"/>
      <c r="E40" s="34" t="n">
        <f aca="false">SUM(D10:P10)</f>
        <v>0</v>
      </c>
    </row>
    <row r="41" customFormat="false" ht="18" hidden="false" customHeight="true" outlineLevel="0" collapsed="false">
      <c r="A41" s="33" t="s">
        <v>111</v>
      </c>
      <c r="B41" s="33"/>
      <c r="C41" s="33"/>
      <c r="D41" s="33"/>
      <c r="E41" s="34" t="n">
        <f aca="false">SUM(D16:P16)</f>
        <v>0</v>
      </c>
    </row>
    <row r="42" customFormat="false" ht="18" hidden="false" customHeight="true" outlineLevel="0" collapsed="false">
      <c r="A42" s="35" t="s">
        <v>112</v>
      </c>
      <c r="B42" s="35"/>
      <c r="C42" s="35"/>
      <c r="D42" s="35"/>
      <c r="E42" s="34" t="n">
        <f aca="false">SUM(D17:P17)</f>
        <v>0</v>
      </c>
    </row>
    <row r="44" customFormat="false" ht="21.75" hidden="false" customHeight="true" outlineLevel="0" collapsed="false">
      <c r="A44" s="37" t="s">
        <v>46</v>
      </c>
      <c r="B44" s="37"/>
      <c r="C44" s="37"/>
      <c r="D44" s="37"/>
      <c r="E44" s="37"/>
      <c r="F44" s="37"/>
      <c r="G44" s="37"/>
      <c r="H44" s="37"/>
      <c r="I44" s="37"/>
      <c r="J44" s="37"/>
      <c r="K44" s="37"/>
      <c r="L44" s="37"/>
      <c r="M44" s="37"/>
      <c r="N44" s="37"/>
      <c r="O44" s="37"/>
      <c r="P44" s="37"/>
    </row>
  </sheetData>
  <sheetProtection sheet="true" password="df0a"/>
  <mergeCells count="37">
    <mergeCell ref="A1:P1"/>
    <mergeCell ref="G3:P3"/>
    <mergeCell ref="A5:B5"/>
    <mergeCell ref="A6:B6"/>
    <mergeCell ref="A8:P8"/>
    <mergeCell ref="A9:B9"/>
    <mergeCell ref="A10:B10"/>
    <mergeCell ref="A11:B11"/>
    <mergeCell ref="A12:B12"/>
    <mergeCell ref="A13:B13"/>
    <mergeCell ref="A15:P15"/>
    <mergeCell ref="A16:B16"/>
    <mergeCell ref="A17:B17"/>
    <mergeCell ref="A18:B18"/>
    <mergeCell ref="A19:B19"/>
    <mergeCell ref="A20:B20"/>
    <mergeCell ref="A21:B21"/>
    <mergeCell ref="A22:B22"/>
    <mergeCell ref="A23:B23"/>
    <mergeCell ref="A24:B24"/>
    <mergeCell ref="A26:B26"/>
    <mergeCell ref="A27:B27"/>
    <mergeCell ref="A28:P28"/>
    <mergeCell ref="A30:P30"/>
    <mergeCell ref="A31:D31"/>
    <mergeCell ref="A32:D32"/>
    <mergeCell ref="A33:D33"/>
    <mergeCell ref="A34:D34"/>
    <mergeCell ref="A35:D35"/>
    <mergeCell ref="A36:D36"/>
    <mergeCell ref="A37:D37"/>
    <mergeCell ref="A38:D38"/>
    <mergeCell ref="A39:D39"/>
    <mergeCell ref="A40:D40"/>
    <mergeCell ref="A41:D41"/>
    <mergeCell ref="A42:D42"/>
    <mergeCell ref="A44:P44"/>
  </mergeCells>
  <conditionalFormatting sqref="D26">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conditionalFormatting sqref="E26">
    <cfRule type="cellIs" priority="4" operator="lessThan" aboveAverage="0" equalAverage="0" bottom="0" percent="0" rank="0" text="" dxfId="0">
      <formula>0</formula>
    </cfRule>
    <cfRule type="cellIs" priority="5" operator="greaterThan" aboveAverage="0" equalAverage="0" bottom="0" percent="0" rank="0" text="" dxfId="1">
      <formula>0</formula>
    </cfRule>
  </conditionalFormatting>
  <conditionalFormatting sqref="F26">
    <cfRule type="cellIs" priority="6" operator="lessThan" aboveAverage="0" equalAverage="0" bottom="0" percent="0" rank="0" text="" dxfId="0">
      <formula>0</formula>
    </cfRule>
    <cfRule type="cellIs" priority="7" operator="greaterThan" aboveAverage="0" equalAverage="0" bottom="0" percent="0" rank="0" text="" dxfId="1">
      <formula>0</formula>
    </cfRule>
  </conditionalFormatting>
  <conditionalFormatting sqref="G26">
    <cfRule type="cellIs" priority="8" operator="lessThan" aboveAverage="0" equalAverage="0" bottom="0" percent="0" rank="0" text="" dxfId="0">
      <formula>0</formula>
    </cfRule>
    <cfRule type="cellIs" priority="9" operator="greaterThan" aboveAverage="0" equalAverage="0" bottom="0" percent="0" rank="0" text="" dxfId="1">
      <formula>0</formula>
    </cfRule>
  </conditionalFormatting>
  <conditionalFormatting sqref="H26">
    <cfRule type="cellIs" priority="10" operator="lessThan" aboveAverage="0" equalAverage="0" bottom="0" percent="0" rank="0" text="" dxfId="0">
      <formula>0</formula>
    </cfRule>
    <cfRule type="cellIs" priority="11" operator="greaterThan" aboveAverage="0" equalAverage="0" bottom="0" percent="0" rank="0" text="" dxfId="1">
      <formula>0</formula>
    </cfRule>
  </conditionalFormatting>
  <conditionalFormatting sqref="I26">
    <cfRule type="cellIs" priority="12" operator="lessThan" aboveAverage="0" equalAverage="0" bottom="0" percent="0" rank="0" text="" dxfId="0">
      <formula>0</formula>
    </cfRule>
    <cfRule type="cellIs" priority="13" operator="greaterThan" aboveAverage="0" equalAverage="0" bottom="0" percent="0" rank="0" text="" dxfId="1">
      <formula>0</formula>
    </cfRule>
  </conditionalFormatting>
  <conditionalFormatting sqref="J26">
    <cfRule type="cellIs" priority="14" operator="lessThan" aboveAverage="0" equalAverage="0" bottom="0" percent="0" rank="0" text="" dxfId="0">
      <formula>0</formula>
    </cfRule>
    <cfRule type="cellIs" priority="15" operator="greaterThan" aboveAverage="0" equalAverage="0" bottom="0" percent="0" rank="0" text="" dxfId="1">
      <formula>0</formula>
    </cfRule>
  </conditionalFormatting>
  <conditionalFormatting sqref="K26">
    <cfRule type="cellIs" priority="16" operator="lessThan" aboveAverage="0" equalAverage="0" bottom="0" percent="0" rank="0" text="" dxfId="0">
      <formula>0</formula>
    </cfRule>
    <cfRule type="cellIs" priority="17" operator="greaterThan" aboveAverage="0" equalAverage="0" bottom="0" percent="0" rank="0" text="" dxfId="1">
      <formula>0</formula>
    </cfRule>
  </conditionalFormatting>
  <conditionalFormatting sqref="L26">
    <cfRule type="cellIs" priority="18" operator="lessThan" aboveAverage="0" equalAverage="0" bottom="0" percent="0" rank="0" text="" dxfId="0">
      <formula>0</formula>
    </cfRule>
    <cfRule type="cellIs" priority="19" operator="greaterThan" aboveAverage="0" equalAverage="0" bottom="0" percent="0" rank="0" text="" dxfId="1">
      <formula>0</formula>
    </cfRule>
  </conditionalFormatting>
  <conditionalFormatting sqref="M26">
    <cfRule type="cellIs" priority="20" operator="lessThan" aboveAverage="0" equalAverage="0" bottom="0" percent="0" rank="0" text="" dxfId="0">
      <formula>0</formula>
    </cfRule>
    <cfRule type="cellIs" priority="21" operator="greaterThan" aboveAverage="0" equalAverage="0" bottom="0" percent="0" rank="0" text="" dxfId="1">
      <formula>0</formula>
    </cfRule>
  </conditionalFormatting>
  <conditionalFormatting sqref="N26">
    <cfRule type="cellIs" priority="22" operator="lessThan" aboveAverage="0" equalAverage="0" bottom="0" percent="0" rank="0" text="" dxfId="0">
      <formula>0</formula>
    </cfRule>
    <cfRule type="cellIs" priority="23" operator="greaterThan" aboveAverage="0" equalAverage="0" bottom="0" percent="0" rank="0" text="" dxfId="1">
      <formula>0</formula>
    </cfRule>
  </conditionalFormatting>
  <conditionalFormatting sqref="O26">
    <cfRule type="cellIs" priority="24" operator="lessThan" aboveAverage="0" equalAverage="0" bottom="0" percent="0" rank="0" text="" dxfId="0">
      <formula>0</formula>
    </cfRule>
    <cfRule type="cellIs" priority="25" operator="greaterThan" aboveAverage="0" equalAverage="0" bottom="0" percent="0" rank="0" text="" dxfId="1">
      <formula>0</formula>
    </cfRule>
  </conditionalFormatting>
  <conditionalFormatting sqref="P26">
    <cfRule type="cellIs" priority="26" operator="lessThan" aboveAverage="0" equalAverage="0" bottom="0" percent="0" rank="0" text="" dxfId="0">
      <formula>0</formula>
    </cfRule>
    <cfRule type="cellIs" priority="27" operator="greaterThan" aboveAverage="0" equalAverage="0" bottom="0" percent="0" rank="0" text="" dxfId="1">
      <formula>0</formula>
    </cfRule>
  </conditionalFormatting>
  <conditionalFormatting sqref="D27">
    <cfRule type="expression" priority="28" aboveAverage="0" equalAverage="0" bottom="0" percent="0" rank="0" text="" dxfId="0">
      <formula>D27&lt;F3</formula>
    </cfRule>
    <cfRule type="expression" priority="29" aboveAverage="0" equalAverage="0" bottom="0" percent="0" rank="0" text="" dxfId="2">
      <formula>AND(D27&gt;=F3,D27&lt;F3*1.2)</formula>
    </cfRule>
    <cfRule type="expression" priority="30" aboveAverage="0" equalAverage="0" bottom="0" percent="0" rank="0" text="" dxfId="1">
      <formula>D27&gt;=F3*1.2</formula>
    </cfRule>
  </conditionalFormatting>
  <conditionalFormatting sqref="E27">
    <cfRule type="expression" priority="31" aboveAverage="0" equalAverage="0" bottom="0" percent="0" rank="0" text="" dxfId="0">
      <formula>E27&lt;F3</formula>
    </cfRule>
    <cfRule type="expression" priority="32" aboveAverage="0" equalAverage="0" bottom="0" percent="0" rank="0" text="" dxfId="2">
      <formula>AND(E27&gt;=F3,E27&lt;F3*1.2)</formula>
    </cfRule>
    <cfRule type="expression" priority="33" aboveAverage="0" equalAverage="0" bottom="0" percent="0" rank="0" text="" dxfId="1">
      <formula>E27&gt;=F3*1.2</formula>
    </cfRule>
  </conditionalFormatting>
  <conditionalFormatting sqref="F27">
    <cfRule type="expression" priority="34" aboveAverage="0" equalAverage="0" bottom="0" percent="0" rank="0" text="" dxfId="0">
      <formula>F27&lt;F3</formula>
    </cfRule>
    <cfRule type="expression" priority="35" aboveAverage="0" equalAverage="0" bottom="0" percent="0" rank="0" text="" dxfId="2">
      <formula>AND(F27&gt;=F3,F27&lt;F3*1.2)</formula>
    </cfRule>
    <cfRule type="expression" priority="36" aboveAverage="0" equalAverage="0" bottom="0" percent="0" rank="0" text="" dxfId="1">
      <formula>F27&gt;=F3*1.2</formula>
    </cfRule>
  </conditionalFormatting>
  <conditionalFormatting sqref="G27">
    <cfRule type="expression" priority="37" aboveAverage="0" equalAverage="0" bottom="0" percent="0" rank="0" text="" dxfId="0">
      <formula>G27&lt;F3</formula>
    </cfRule>
    <cfRule type="expression" priority="38" aboveAverage="0" equalAverage="0" bottom="0" percent="0" rank="0" text="" dxfId="2">
      <formula>AND(G27&gt;=F3,G27&lt;F3*1.2)</formula>
    </cfRule>
    <cfRule type="expression" priority="39" aboveAverage="0" equalAverage="0" bottom="0" percent="0" rank="0" text="" dxfId="1">
      <formula>G27&gt;=F3*1.2</formula>
    </cfRule>
  </conditionalFormatting>
  <conditionalFormatting sqref="H27">
    <cfRule type="expression" priority="40" aboveAverage="0" equalAverage="0" bottom="0" percent="0" rank="0" text="" dxfId="0">
      <formula>H27&lt;F3</formula>
    </cfRule>
    <cfRule type="expression" priority="41" aboveAverage="0" equalAverage="0" bottom="0" percent="0" rank="0" text="" dxfId="2">
      <formula>AND(H27&gt;=F3,H27&lt;F3*1.2)</formula>
    </cfRule>
    <cfRule type="expression" priority="42" aboveAverage="0" equalAverage="0" bottom="0" percent="0" rank="0" text="" dxfId="1">
      <formula>H27&gt;=F3*1.2</formula>
    </cfRule>
  </conditionalFormatting>
  <conditionalFormatting sqref="I27">
    <cfRule type="expression" priority="43" aboveAverage="0" equalAverage="0" bottom="0" percent="0" rank="0" text="" dxfId="0">
      <formula>I27&lt;F3</formula>
    </cfRule>
    <cfRule type="expression" priority="44" aboveAverage="0" equalAverage="0" bottom="0" percent="0" rank="0" text="" dxfId="2">
      <formula>AND(I27&gt;=F3,I27&lt;F3*1.2)</formula>
    </cfRule>
    <cfRule type="expression" priority="45" aboveAverage="0" equalAverage="0" bottom="0" percent="0" rank="0" text="" dxfId="1">
      <formula>I27&gt;=F3*1.2</formula>
    </cfRule>
  </conditionalFormatting>
  <conditionalFormatting sqref="J27">
    <cfRule type="expression" priority="46" aboveAverage="0" equalAverage="0" bottom="0" percent="0" rank="0" text="" dxfId="0">
      <formula>J27&lt;F3</formula>
    </cfRule>
    <cfRule type="expression" priority="47" aboveAverage="0" equalAverage="0" bottom="0" percent="0" rank="0" text="" dxfId="2">
      <formula>AND(J27&gt;=F3,J27&lt;F3*1.2)</formula>
    </cfRule>
    <cfRule type="expression" priority="48" aboveAverage="0" equalAverage="0" bottom="0" percent="0" rank="0" text="" dxfId="1">
      <formula>J27&gt;=F3*1.2</formula>
    </cfRule>
  </conditionalFormatting>
  <conditionalFormatting sqref="K27">
    <cfRule type="expression" priority="49" aboveAverage="0" equalAverage="0" bottom="0" percent="0" rank="0" text="" dxfId="0">
      <formula>K27&lt;F3</formula>
    </cfRule>
    <cfRule type="expression" priority="50" aboveAverage="0" equalAverage="0" bottom="0" percent="0" rank="0" text="" dxfId="2">
      <formula>AND(K27&gt;=F3,K27&lt;F3*1.2)</formula>
    </cfRule>
    <cfRule type="expression" priority="51" aboveAverage="0" equalAverage="0" bottom="0" percent="0" rank="0" text="" dxfId="1">
      <formula>K27&gt;=F3*1.2</formula>
    </cfRule>
  </conditionalFormatting>
  <conditionalFormatting sqref="L27">
    <cfRule type="expression" priority="52" aboveAverage="0" equalAverage="0" bottom="0" percent="0" rank="0" text="" dxfId="0">
      <formula>L27&lt;F3</formula>
    </cfRule>
    <cfRule type="expression" priority="53" aboveAverage="0" equalAverage="0" bottom="0" percent="0" rank="0" text="" dxfId="2">
      <formula>AND(L27&gt;=F3,L27&lt;F3*1.2)</formula>
    </cfRule>
    <cfRule type="expression" priority="54" aboveAverage="0" equalAverage="0" bottom="0" percent="0" rank="0" text="" dxfId="1">
      <formula>L27&gt;=F3*1.2</formula>
    </cfRule>
  </conditionalFormatting>
  <conditionalFormatting sqref="M27">
    <cfRule type="expression" priority="55" aboveAverage="0" equalAverage="0" bottom="0" percent="0" rank="0" text="" dxfId="0">
      <formula>M27&lt;F3</formula>
    </cfRule>
    <cfRule type="expression" priority="56" aboveAverage="0" equalAverage="0" bottom="0" percent="0" rank="0" text="" dxfId="2">
      <formula>AND(M27&gt;=F3,M27&lt;F3*1.2)</formula>
    </cfRule>
    <cfRule type="expression" priority="57" aboveAverage="0" equalAverage="0" bottom="0" percent="0" rank="0" text="" dxfId="1">
      <formula>M27&gt;=F3*1.2</formula>
    </cfRule>
  </conditionalFormatting>
  <conditionalFormatting sqref="N27">
    <cfRule type="expression" priority="58" aboveAverage="0" equalAverage="0" bottom="0" percent="0" rank="0" text="" dxfId="0">
      <formula>N27&lt;F3</formula>
    </cfRule>
    <cfRule type="expression" priority="59" aboveAverage="0" equalAverage="0" bottom="0" percent="0" rank="0" text="" dxfId="2">
      <formula>AND(N27&gt;=F3,N27&lt;F3*1.2)</formula>
    </cfRule>
    <cfRule type="expression" priority="60" aboveAverage="0" equalAverage="0" bottom="0" percent="0" rank="0" text="" dxfId="1">
      <formula>N27&gt;=F3*1.2</formula>
    </cfRule>
  </conditionalFormatting>
  <conditionalFormatting sqref="O27">
    <cfRule type="expression" priority="61" aboveAverage="0" equalAverage="0" bottom="0" percent="0" rank="0" text="" dxfId="0">
      <formula>O27&lt;F3</formula>
    </cfRule>
    <cfRule type="expression" priority="62" aboveAverage="0" equalAverage="0" bottom="0" percent="0" rank="0" text="" dxfId="2">
      <formula>AND(O27&gt;=F3,O27&lt;F3*1.2)</formula>
    </cfRule>
    <cfRule type="expression" priority="63" aboveAverage="0" equalAverage="0" bottom="0" percent="0" rank="0" text="" dxfId="1">
      <formula>O27&gt;=F3*1.2</formula>
    </cfRule>
  </conditionalFormatting>
  <conditionalFormatting sqref="P27">
    <cfRule type="expression" priority="64" aboveAverage="0" equalAverage="0" bottom="0" percent="0" rank="0" text="" dxfId="0">
      <formula>P27&lt;F3</formula>
    </cfRule>
    <cfRule type="expression" priority="65" aboveAverage="0" equalAverage="0" bottom="0" percent="0" rank="0" text="" dxfId="2">
      <formula>AND(P27&gt;=F3,P27&lt;F3*1.2)</formula>
    </cfRule>
    <cfRule type="expression" priority="66" aboveAverage="0" equalAverage="0" bottom="0" percent="0" rank="0" text="" dxfId="1">
      <formula>P27&gt;=F3*1.2</formula>
    </cfRule>
  </conditionalFormatting>
  <conditionalFormatting sqref="E36">
    <cfRule type="cellIs" priority="67" operator="lessThan" aboveAverage="0" equalAverage="0" bottom="0" percent="0" rank="0" text="" dxfId="0">
      <formula>0</formula>
    </cfRule>
  </conditionalFormatting>
  <conditionalFormatting sqref="E38">
    <cfRule type="cellIs" priority="68" operator="greaterThan" aboveAverage="0" equalAverage="0" bottom="0" percent="0" rank="0" text="" dxfId="0">
      <formula>0</formula>
    </cfRule>
    <cfRule type="cellIs" priority="69"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
    <col collapsed="false" customWidth="true" hidden="false" outlineLevel="0" max="3" min="3" style="0" width="30"/>
    <col collapsed="false" customWidth="true" hidden="false" outlineLevel="0" max="16" min="4" style="0" width="13"/>
  </cols>
  <sheetData>
    <row r="1" customFormat="false" ht="36" hidden="false" customHeight="true" outlineLevel="0" collapsed="false">
      <c r="A1" s="1" t="s">
        <v>115</v>
      </c>
      <c r="B1" s="1"/>
      <c r="C1" s="1"/>
      <c r="D1" s="1"/>
      <c r="E1" s="1"/>
      <c r="F1" s="1"/>
      <c r="G1" s="1"/>
      <c r="H1" s="1"/>
      <c r="I1" s="1"/>
      <c r="J1" s="1"/>
      <c r="K1" s="1"/>
      <c r="L1" s="1"/>
      <c r="M1" s="1"/>
      <c r="N1" s="1"/>
      <c r="O1" s="1"/>
      <c r="P1" s="1"/>
    </row>
    <row r="2" customFormat="false" ht="19.5" hidden="false" customHeight="true" outlineLevel="0" collapsed="false">
      <c r="A2" s="2" t="s">
        <v>48</v>
      </c>
      <c r="B2" s="3"/>
      <c r="D2" s="2" t="s">
        <v>49</v>
      </c>
      <c r="E2" s="3"/>
      <c r="G2" s="2" t="s">
        <v>50</v>
      </c>
      <c r="H2" s="3"/>
      <c r="J2" s="2" t="s">
        <v>4</v>
      </c>
      <c r="K2" s="3"/>
    </row>
    <row r="3" customFormat="false" ht="21.75" hidden="false" customHeight="true" outlineLevel="0" collapsed="false">
      <c r="A3" s="38" t="s">
        <v>51</v>
      </c>
      <c r="B3" s="5" t="n">
        <v>0</v>
      </c>
      <c r="E3" s="4" t="s">
        <v>52</v>
      </c>
      <c r="F3" s="5" t="n">
        <v>5000</v>
      </c>
      <c r="G3" s="6" t="s">
        <v>53</v>
      </c>
      <c r="H3" s="6"/>
      <c r="I3" s="6"/>
      <c r="J3" s="6"/>
      <c r="K3" s="6"/>
      <c r="L3" s="6"/>
      <c r="M3" s="6"/>
      <c r="N3" s="6"/>
      <c r="O3" s="6"/>
      <c r="P3" s="6"/>
    </row>
    <row r="5" customFormat="false" ht="18" hidden="false" customHeight="true" outlineLevel="0" collapsed="false">
      <c r="A5" s="7" t="s">
        <v>54</v>
      </c>
      <c r="B5" s="7"/>
      <c r="C5" s="8" t="s">
        <v>55</v>
      </c>
      <c r="D5" s="9" t="s">
        <v>56</v>
      </c>
      <c r="E5" s="9" t="s">
        <v>57</v>
      </c>
      <c r="F5" s="9" t="s">
        <v>58</v>
      </c>
      <c r="G5" s="9" t="s">
        <v>59</v>
      </c>
      <c r="H5" s="9" t="s">
        <v>60</v>
      </c>
      <c r="I5" s="9" t="s">
        <v>61</v>
      </c>
      <c r="J5" s="9" t="s">
        <v>62</v>
      </c>
      <c r="K5" s="9" t="s">
        <v>63</v>
      </c>
      <c r="L5" s="9" t="s">
        <v>64</v>
      </c>
      <c r="M5" s="9" t="s">
        <v>65</v>
      </c>
      <c r="N5" s="9" t="s">
        <v>66</v>
      </c>
      <c r="O5" s="9" t="s">
        <v>67</v>
      </c>
      <c r="P5" s="9" t="s">
        <v>68</v>
      </c>
    </row>
    <row r="6" customFormat="false" ht="18" hidden="false" customHeight="true" outlineLevel="0" collapsed="false">
      <c r="A6" s="10" t="s">
        <v>22</v>
      </c>
      <c r="B6" s="10"/>
      <c r="C6" s="39"/>
      <c r="D6" s="40"/>
      <c r="E6" s="40"/>
      <c r="F6" s="40"/>
      <c r="G6" s="40"/>
      <c r="H6" s="40"/>
      <c r="I6" s="40"/>
      <c r="J6" s="40"/>
      <c r="K6" s="40"/>
      <c r="L6" s="40"/>
      <c r="M6" s="40"/>
      <c r="N6" s="40"/>
      <c r="O6" s="40"/>
      <c r="P6" s="40"/>
    </row>
    <row r="7" customFormat="false" ht="3.75" hidden="false" customHeight="true" outlineLevel="0" collapsed="false"/>
    <row r="8" customFormat="false" ht="19.5" hidden="false" customHeight="true" outlineLevel="0" collapsed="false">
      <c r="A8" s="27" t="s">
        <v>69</v>
      </c>
      <c r="B8" s="27"/>
      <c r="C8" s="27"/>
      <c r="D8" s="27"/>
      <c r="E8" s="27"/>
      <c r="F8" s="27"/>
      <c r="G8" s="27"/>
      <c r="H8" s="27"/>
      <c r="I8" s="27"/>
      <c r="J8" s="27"/>
      <c r="K8" s="27"/>
      <c r="L8" s="27"/>
      <c r="M8" s="27"/>
      <c r="N8" s="27"/>
      <c r="O8" s="27"/>
      <c r="P8" s="27"/>
    </row>
    <row r="9" customFormat="false" ht="18" hidden="false" customHeight="true" outlineLevel="0" collapsed="false">
      <c r="A9" s="41" t="s">
        <v>70</v>
      </c>
      <c r="B9" s="41"/>
      <c r="C9" s="42" t="s">
        <v>71</v>
      </c>
      <c r="D9" s="43"/>
      <c r="E9" s="43"/>
      <c r="F9" s="43"/>
      <c r="G9" s="43"/>
      <c r="H9" s="43"/>
      <c r="I9" s="43"/>
      <c r="J9" s="43"/>
      <c r="K9" s="43"/>
      <c r="L9" s="43"/>
      <c r="M9" s="43"/>
      <c r="N9" s="43"/>
      <c r="O9" s="43"/>
      <c r="P9" s="43"/>
    </row>
    <row r="10" customFormat="false" ht="18" hidden="false" customHeight="true" outlineLevel="0" collapsed="false">
      <c r="A10" s="44" t="s">
        <v>72</v>
      </c>
      <c r="B10" s="44"/>
      <c r="C10" s="42" t="s">
        <v>73</v>
      </c>
      <c r="D10" s="45"/>
      <c r="E10" s="45"/>
      <c r="F10" s="45"/>
      <c r="G10" s="45"/>
      <c r="H10" s="45"/>
      <c r="I10" s="45"/>
      <c r="J10" s="45"/>
      <c r="K10" s="45"/>
      <c r="L10" s="45"/>
      <c r="M10" s="45"/>
      <c r="N10" s="45"/>
      <c r="O10" s="45"/>
      <c r="P10" s="45"/>
    </row>
    <row r="11" customFormat="false" ht="18" hidden="false" customHeight="true" outlineLevel="0" collapsed="false">
      <c r="A11" s="41" t="s">
        <v>74</v>
      </c>
      <c r="B11" s="41"/>
      <c r="C11" s="42" t="s">
        <v>75</v>
      </c>
      <c r="D11" s="43"/>
      <c r="E11" s="43"/>
      <c r="F11" s="43"/>
      <c r="G11" s="43"/>
      <c r="H11" s="43"/>
      <c r="I11" s="43"/>
      <c r="J11" s="43"/>
      <c r="K11" s="43"/>
      <c r="L11" s="43"/>
      <c r="M11" s="43"/>
      <c r="N11" s="43"/>
      <c r="O11" s="43"/>
      <c r="P11" s="43"/>
    </row>
    <row r="12" customFormat="false" ht="18" hidden="false" customHeight="true" outlineLevel="0" collapsed="false">
      <c r="A12" s="44" t="s">
        <v>76</v>
      </c>
      <c r="B12" s="44"/>
      <c r="C12" s="42" t="s">
        <v>77</v>
      </c>
      <c r="D12" s="45"/>
      <c r="E12" s="45"/>
      <c r="F12" s="45"/>
      <c r="G12" s="45"/>
      <c r="H12" s="45"/>
      <c r="I12" s="45"/>
      <c r="J12" s="45"/>
      <c r="K12" s="45"/>
      <c r="L12" s="45"/>
      <c r="M12" s="45"/>
      <c r="N12" s="45"/>
      <c r="O12" s="45"/>
      <c r="P12" s="45"/>
    </row>
    <row r="13" customFormat="false" ht="19.5" hidden="false" customHeight="true" outlineLevel="0" collapsed="false">
      <c r="A13" s="27" t="s">
        <v>78</v>
      </c>
      <c r="B13" s="27"/>
      <c r="C13" s="46"/>
      <c r="D13" s="28" t="n">
        <f aca="false">SUM(D9:D12)</f>
        <v>0</v>
      </c>
      <c r="E13" s="28" t="n">
        <f aca="false">SUM(E9:E12)</f>
        <v>0</v>
      </c>
      <c r="F13" s="28" t="n">
        <f aca="false">SUM(F9:F12)</f>
        <v>0</v>
      </c>
      <c r="G13" s="28" t="n">
        <f aca="false">SUM(G9:G12)</f>
        <v>0</v>
      </c>
      <c r="H13" s="28" t="n">
        <f aca="false">SUM(H9:H12)</f>
        <v>0</v>
      </c>
      <c r="I13" s="28" t="n">
        <f aca="false">SUM(I9:I12)</f>
        <v>0</v>
      </c>
      <c r="J13" s="28" t="n">
        <f aca="false">SUM(J9:J12)</f>
        <v>0</v>
      </c>
      <c r="K13" s="28" t="n">
        <f aca="false">SUM(K9:K12)</f>
        <v>0</v>
      </c>
      <c r="L13" s="28" t="n">
        <f aca="false">SUM(L9:L12)</f>
        <v>0</v>
      </c>
      <c r="M13" s="28" t="n">
        <f aca="false">SUM(M9:M12)</f>
        <v>0</v>
      </c>
      <c r="N13" s="28" t="n">
        <f aca="false">SUM(N9:N12)</f>
        <v>0</v>
      </c>
      <c r="O13" s="28" t="n">
        <f aca="false">SUM(O9:O12)</f>
        <v>0</v>
      </c>
      <c r="P13" s="28" t="n">
        <f aca="false">SUM(P9:P12)</f>
        <v>0</v>
      </c>
    </row>
    <row r="14" customFormat="false" ht="3.75" hidden="false" customHeight="true" outlineLevel="0" collapsed="false"/>
    <row r="15" customFormat="false" ht="19.5" hidden="false" customHeight="true" outlineLevel="0" collapsed="false">
      <c r="A15" s="29" t="s">
        <v>79</v>
      </c>
      <c r="B15" s="29"/>
      <c r="C15" s="29"/>
      <c r="D15" s="29"/>
      <c r="E15" s="29"/>
      <c r="F15" s="29"/>
      <c r="G15" s="29"/>
      <c r="H15" s="29"/>
      <c r="I15" s="29"/>
      <c r="J15" s="29"/>
      <c r="K15" s="29"/>
      <c r="L15" s="29"/>
      <c r="M15" s="29"/>
      <c r="N15" s="29"/>
      <c r="O15" s="29"/>
      <c r="P15" s="29"/>
    </row>
    <row r="16" customFormat="false" ht="18" hidden="false" customHeight="true" outlineLevel="0" collapsed="false">
      <c r="A16" s="44" t="s">
        <v>80</v>
      </c>
      <c r="B16" s="44"/>
      <c r="C16" s="42" t="s">
        <v>81</v>
      </c>
      <c r="D16" s="45"/>
      <c r="E16" s="45"/>
      <c r="F16" s="45"/>
      <c r="G16" s="45"/>
      <c r="H16" s="45"/>
      <c r="I16" s="45"/>
      <c r="J16" s="45"/>
      <c r="K16" s="45"/>
      <c r="L16" s="45"/>
      <c r="M16" s="45"/>
      <c r="N16" s="45"/>
      <c r="O16" s="45"/>
      <c r="P16" s="45"/>
    </row>
    <row r="17" customFormat="false" ht="18" hidden="false" customHeight="true" outlineLevel="0" collapsed="false">
      <c r="A17" s="18" t="s">
        <v>82</v>
      </c>
      <c r="B17" s="18"/>
      <c r="C17" s="42" t="s">
        <v>83</v>
      </c>
      <c r="D17" s="47"/>
      <c r="E17" s="47"/>
      <c r="F17" s="47"/>
      <c r="G17" s="47"/>
      <c r="H17" s="47"/>
      <c r="I17" s="47"/>
      <c r="J17" s="47"/>
      <c r="K17" s="47"/>
      <c r="L17" s="47"/>
      <c r="M17" s="47"/>
      <c r="N17" s="47"/>
      <c r="O17" s="47"/>
      <c r="P17" s="47"/>
    </row>
    <row r="18" customFormat="false" ht="18" hidden="false" customHeight="true" outlineLevel="0" collapsed="false">
      <c r="A18" s="44" t="s">
        <v>84</v>
      </c>
      <c r="B18" s="44"/>
      <c r="C18" s="42" t="s">
        <v>85</v>
      </c>
      <c r="D18" s="45"/>
      <c r="E18" s="45"/>
      <c r="F18" s="45"/>
      <c r="G18" s="45"/>
      <c r="H18" s="45"/>
      <c r="I18" s="45"/>
      <c r="J18" s="45"/>
      <c r="K18" s="45"/>
      <c r="L18" s="45"/>
      <c r="M18" s="45"/>
      <c r="N18" s="45"/>
      <c r="O18" s="45"/>
      <c r="P18" s="45"/>
    </row>
    <row r="19" customFormat="false" ht="18" hidden="false" customHeight="true" outlineLevel="0" collapsed="false">
      <c r="A19" s="18" t="s">
        <v>86</v>
      </c>
      <c r="B19" s="18"/>
      <c r="C19" s="42" t="s">
        <v>87</v>
      </c>
      <c r="D19" s="47"/>
      <c r="E19" s="47"/>
      <c r="F19" s="47"/>
      <c r="G19" s="47"/>
      <c r="H19" s="47"/>
      <c r="I19" s="47"/>
      <c r="J19" s="47"/>
      <c r="K19" s="47"/>
      <c r="L19" s="47"/>
      <c r="M19" s="47"/>
      <c r="N19" s="47"/>
      <c r="O19" s="47"/>
      <c r="P19" s="47"/>
    </row>
    <row r="20" customFormat="false" ht="18" hidden="false" customHeight="true" outlineLevel="0" collapsed="false">
      <c r="A20" s="44" t="s">
        <v>88</v>
      </c>
      <c r="B20" s="44"/>
      <c r="C20" s="42" t="s">
        <v>89</v>
      </c>
      <c r="D20" s="45"/>
      <c r="E20" s="45"/>
      <c r="F20" s="45"/>
      <c r="G20" s="45"/>
      <c r="H20" s="45"/>
      <c r="I20" s="45"/>
      <c r="J20" s="45"/>
      <c r="K20" s="45"/>
      <c r="L20" s="45"/>
      <c r="M20" s="45"/>
      <c r="N20" s="45"/>
      <c r="O20" s="45"/>
      <c r="P20" s="45"/>
    </row>
    <row r="21" customFormat="false" ht="18" hidden="false" customHeight="true" outlineLevel="0" collapsed="false">
      <c r="A21" s="18" t="s">
        <v>90</v>
      </c>
      <c r="B21" s="18"/>
      <c r="C21" s="42" t="s">
        <v>91</v>
      </c>
      <c r="D21" s="47"/>
      <c r="E21" s="47"/>
      <c r="F21" s="47"/>
      <c r="G21" s="47"/>
      <c r="H21" s="47"/>
      <c r="I21" s="47"/>
      <c r="J21" s="47"/>
      <c r="K21" s="47"/>
      <c r="L21" s="47"/>
      <c r="M21" s="47"/>
      <c r="N21" s="47"/>
      <c r="O21" s="47"/>
      <c r="P21" s="47"/>
    </row>
    <row r="22" customFormat="false" ht="18" hidden="false" customHeight="true" outlineLevel="0" collapsed="false">
      <c r="A22" s="44" t="s">
        <v>92</v>
      </c>
      <c r="B22" s="44"/>
      <c r="C22" s="42" t="s">
        <v>93</v>
      </c>
      <c r="D22" s="45"/>
      <c r="E22" s="45"/>
      <c r="F22" s="45"/>
      <c r="G22" s="45"/>
      <c r="H22" s="45"/>
      <c r="I22" s="45"/>
      <c r="J22" s="45"/>
      <c r="K22" s="45"/>
      <c r="L22" s="45"/>
      <c r="M22" s="45"/>
      <c r="N22" s="45"/>
      <c r="O22" s="45"/>
      <c r="P22" s="45"/>
    </row>
    <row r="23" customFormat="false" ht="18" hidden="false" customHeight="true" outlineLevel="0" collapsed="false">
      <c r="A23" s="18" t="s">
        <v>94</v>
      </c>
      <c r="B23" s="18"/>
      <c r="C23" s="42" t="s">
        <v>95</v>
      </c>
      <c r="D23" s="47"/>
      <c r="E23" s="47"/>
      <c r="F23" s="47"/>
      <c r="G23" s="47"/>
      <c r="H23" s="47"/>
      <c r="I23" s="47"/>
      <c r="J23" s="47"/>
      <c r="K23" s="47"/>
      <c r="L23" s="47"/>
      <c r="M23" s="47"/>
      <c r="N23" s="47"/>
      <c r="O23" s="47"/>
      <c r="P23" s="47"/>
    </row>
    <row r="24" customFormat="false" ht="19.5" hidden="false" customHeight="true" outlineLevel="0" collapsed="false">
      <c r="A24" s="29" t="s">
        <v>96</v>
      </c>
      <c r="B24" s="29"/>
      <c r="C24" s="48"/>
      <c r="D24" s="30" t="n">
        <f aca="false">SUM(D16:D23)</f>
        <v>0</v>
      </c>
      <c r="E24" s="30" t="n">
        <f aca="false">SUM(E16:E23)</f>
        <v>0</v>
      </c>
      <c r="F24" s="30" t="n">
        <f aca="false">SUM(F16:F23)</f>
        <v>0</v>
      </c>
      <c r="G24" s="30" t="n">
        <f aca="false">SUM(G16:G23)</f>
        <v>0</v>
      </c>
      <c r="H24" s="30" t="n">
        <f aca="false">SUM(H16:H23)</f>
        <v>0</v>
      </c>
      <c r="I24" s="30" t="n">
        <f aca="false">SUM(I16:I23)</f>
        <v>0</v>
      </c>
      <c r="J24" s="30" t="n">
        <f aca="false">SUM(J16:J23)</f>
        <v>0</v>
      </c>
      <c r="K24" s="30" t="n">
        <f aca="false">SUM(K16:K23)</f>
        <v>0</v>
      </c>
      <c r="L24" s="30" t="n">
        <f aca="false">SUM(L16:L23)</f>
        <v>0</v>
      </c>
      <c r="M24" s="30" t="n">
        <f aca="false">SUM(M16:M23)</f>
        <v>0</v>
      </c>
      <c r="N24" s="30" t="n">
        <f aca="false">SUM(N16:N23)</f>
        <v>0</v>
      </c>
      <c r="O24" s="30" t="n">
        <f aca="false">SUM(O16:O23)</f>
        <v>0</v>
      </c>
      <c r="P24" s="30" t="n">
        <f aca="false">SUM(P16:P23)</f>
        <v>0</v>
      </c>
    </row>
    <row r="25" customFormat="false" ht="3.75" hidden="false" customHeight="true" outlineLevel="0" collapsed="false"/>
    <row r="26" customFormat="false" ht="19.5" hidden="false" customHeight="true" outlineLevel="0" collapsed="false">
      <c r="A26" s="13" t="s">
        <v>97</v>
      </c>
      <c r="B26" s="13"/>
      <c r="C26" s="49"/>
      <c r="D26" s="22" t="n">
        <f aca="false">D13-D24</f>
        <v>0</v>
      </c>
      <c r="E26" s="22" t="n">
        <f aca="false">E13-E24</f>
        <v>0</v>
      </c>
      <c r="F26" s="22" t="n">
        <f aca="false">F13-F24</f>
        <v>0</v>
      </c>
      <c r="G26" s="22" t="n">
        <f aca="false">G13-G24</f>
        <v>0</v>
      </c>
      <c r="H26" s="22" t="n">
        <f aca="false">H13-H24</f>
        <v>0</v>
      </c>
      <c r="I26" s="22" t="n">
        <f aca="false">I13-I24</f>
        <v>0</v>
      </c>
      <c r="J26" s="22" t="n">
        <f aca="false">J13-J24</f>
        <v>0</v>
      </c>
      <c r="K26" s="22" t="n">
        <f aca="false">K13-K24</f>
        <v>0</v>
      </c>
      <c r="L26" s="22" t="n">
        <f aca="false">L13-L24</f>
        <v>0</v>
      </c>
      <c r="M26" s="22" t="n">
        <f aca="false">M13-M24</f>
        <v>0</v>
      </c>
      <c r="N26" s="22" t="n">
        <f aca="false">N13-N24</f>
        <v>0</v>
      </c>
      <c r="O26" s="22" t="n">
        <f aca="false">O13-O24</f>
        <v>0</v>
      </c>
      <c r="P26" s="22" t="n">
        <f aca="false">P13-P24</f>
        <v>0</v>
      </c>
    </row>
    <row r="27" customFormat="false" ht="19.5" hidden="false" customHeight="true" outlineLevel="0" collapsed="false">
      <c r="A27" s="14" t="s">
        <v>98</v>
      </c>
      <c r="B27" s="14"/>
      <c r="C27" s="50"/>
      <c r="D27" s="31" t="n">
        <f aca="false">B3+D26</f>
        <v>0</v>
      </c>
      <c r="E27" s="31" t="n">
        <f aca="false">D27+E26</f>
        <v>0</v>
      </c>
      <c r="F27" s="31" t="n">
        <f aca="false">E27+F26</f>
        <v>0</v>
      </c>
      <c r="G27" s="31" t="n">
        <f aca="false">F27+G26</f>
        <v>0</v>
      </c>
      <c r="H27" s="31" t="n">
        <f aca="false">G27+H26</f>
        <v>0</v>
      </c>
      <c r="I27" s="31" t="n">
        <f aca="false">H27+I26</f>
        <v>0</v>
      </c>
      <c r="J27" s="31" t="n">
        <f aca="false">I27+J26</f>
        <v>0</v>
      </c>
      <c r="K27" s="31" t="n">
        <f aca="false">J27+K26</f>
        <v>0</v>
      </c>
      <c r="L27" s="31" t="n">
        <f aca="false">K27+L26</f>
        <v>0</v>
      </c>
      <c r="M27" s="31" t="n">
        <f aca="false">L27+M26</f>
        <v>0</v>
      </c>
      <c r="N27" s="31" t="n">
        <f aca="false">M27+N26</f>
        <v>0</v>
      </c>
      <c r="O27" s="31" t="n">
        <f aca="false">N27+O26</f>
        <v>0</v>
      </c>
      <c r="P27" s="31" t="n">
        <f aca="false">O27+P26</f>
        <v>0</v>
      </c>
    </row>
    <row r="28" customFormat="false" ht="18" hidden="false" customHeight="true" outlineLevel="0" collapsed="false">
      <c r="A28" s="32" t="s">
        <v>99</v>
      </c>
      <c r="B28" s="32"/>
      <c r="C28" s="32"/>
      <c r="D28" s="32"/>
      <c r="E28" s="32"/>
      <c r="F28" s="32"/>
      <c r="G28" s="32"/>
      <c r="H28" s="32"/>
      <c r="I28" s="32"/>
      <c r="J28" s="32"/>
      <c r="K28" s="32"/>
      <c r="L28" s="32"/>
      <c r="M28" s="32"/>
      <c r="N28" s="32"/>
      <c r="O28" s="32"/>
      <c r="P28" s="32"/>
    </row>
    <row r="29" customFormat="false" ht="6" hidden="false" customHeight="true" outlineLevel="0" collapsed="false"/>
    <row r="30" customFormat="false" ht="19.5" hidden="false" customHeight="true" outlineLevel="0" collapsed="false">
      <c r="A30" s="13" t="s">
        <v>100</v>
      </c>
      <c r="B30" s="13"/>
      <c r="C30" s="13"/>
      <c r="D30" s="13"/>
      <c r="E30" s="13"/>
      <c r="F30" s="13"/>
      <c r="G30" s="13"/>
      <c r="H30" s="13"/>
      <c r="I30" s="13"/>
      <c r="J30" s="13"/>
      <c r="K30" s="13"/>
      <c r="L30" s="13"/>
      <c r="M30" s="13"/>
      <c r="N30" s="13"/>
      <c r="O30" s="13"/>
      <c r="P30" s="13"/>
    </row>
    <row r="31" customFormat="false" ht="18" hidden="false" customHeight="true" outlineLevel="0" collapsed="false">
      <c r="A31" s="33" t="s">
        <v>101</v>
      </c>
      <c r="B31" s="33"/>
      <c r="C31" s="33"/>
      <c r="D31" s="33"/>
      <c r="E31" s="34" t="n">
        <f aca="false">B3</f>
        <v>0</v>
      </c>
    </row>
    <row r="32" customFormat="false" ht="18" hidden="false" customHeight="true" outlineLevel="0" collapsed="false">
      <c r="A32" s="35" t="s">
        <v>102</v>
      </c>
      <c r="B32" s="35"/>
      <c r="C32" s="35"/>
      <c r="D32" s="35"/>
      <c r="E32" s="34" t="n">
        <f aca="false">SUM(D13:P13)</f>
        <v>0</v>
      </c>
    </row>
    <row r="33" customFormat="false" ht="18" hidden="false" customHeight="true" outlineLevel="0" collapsed="false">
      <c r="A33" s="33" t="s">
        <v>103</v>
      </c>
      <c r="B33" s="33"/>
      <c r="C33" s="33"/>
      <c r="D33" s="33"/>
      <c r="E33" s="34" t="n">
        <f aca="false">SUM(D24:P24)</f>
        <v>0</v>
      </c>
    </row>
    <row r="34" customFormat="false" ht="18" hidden="false" customHeight="true" outlineLevel="0" collapsed="false">
      <c r="A34" s="35" t="s">
        <v>104</v>
      </c>
      <c r="B34" s="35"/>
      <c r="C34" s="35"/>
      <c r="D34" s="35"/>
      <c r="E34" s="34" t="n">
        <f aca="false">SUM(D26:P26)</f>
        <v>0</v>
      </c>
    </row>
    <row r="35" customFormat="false" ht="18" hidden="false" customHeight="true" outlineLevel="0" collapsed="false">
      <c r="A35" s="33" t="s">
        <v>105</v>
      </c>
      <c r="B35" s="33"/>
      <c r="C35" s="33"/>
      <c r="D35" s="33"/>
      <c r="E35" s="34" t="n">
        <f aca="false">P27</f>
        <v>0</v>
      </c>
    </row>
    <row r="36" customFormat="false" ht="18" hidden="false" customHeight="true" outlineLevel="0" collapsed="false">
      <c r="A36" s="35" t="s">
        <v>106</v>
      </c>
      <c r="B36" s="35"/>
      <c r="C36" s="35"/>
      <c r="D36" s="35"/>
      <c r="E36" s="34" t="n">
        <f aca="false">MIN(D27:P27)</f>
        <v>0</v>
      </c>
    </row>
    <row r="37" customFormat="false" ht="18" hidden="false" customHeight="true" outlineLevel="0" collapsed="false">
      <c r="A37" s="33" t="s">
        <v>107</v>
      </c>
      <c r="B37" s="33"/>
      <c r="C37" s="33"/>
      <c r="D37" s="33"/>
      <c r="E37" s="34" t="n">
        <f aca="false">MAX(D27:P27)</f>
        <v>0</v>
      </c>
    </row>
    <row r="38" customFormat="false" ht="18" hidden="false" customHeight="true" outlineLevel="0" collapsed="false">
      <c r="A38" s="35" t="s">
        <v>108</v>
      </c>
      <c r="B38" s="35"/>
      <c r="C38" s="35"/>
      <c r="D38" s="35"/>
      <c r="E38" s="36" t="n">
        <f aca="false">COUNTIF(D27:P27,"&lt;"&amp;F3)</f>
        <v>13</v>
      </c>
    </row>
    <row r="39" customFormat="false" ht="18" hidden="false" customHeight="true" outlineLevel="0" collapsed="false">
      <c r="A39" s="33" t="s">
        <v>109</v>
      </c>
      <c r="B39" s="33"/>
      <c r="C39" s="33"/>
      <c r="D39" s="33"/>
      <c r="E39" s="34" t="n">
        <f aca="false">SUM(D9:P9)</f>
        <v>0</v>
      </c>
    </row>
    <row r="40" customFormat="false" ht="18" hidden="false" customHeight="true" outlineLevel="0" collapsed="false">
      <c r="A40" s="35" t="s">
        <v>110</v>
      </c>
      <c r="B40" s="35"/>
      <c r="C40" s="35"/>
      <c r="D40" s="35"/>
      <c r="E40" s="34" t="n">
        <f aca="false">SUM(D10:P10)</f>
        <v>0</v>
      </c>
    </row>
    <row r="41" customFormat="false" ht="18" hidden="false" customHeight="true" outlineLevel="0" collapsed="false">
      <c r="A41" s="33" t="s">
        <v>111</v>
      </c>
      <c r="B41" s="33"/>
      <c r="C41" s="33"/>
      <c r="D41" s="33"/>
      <c r="E41" s="34" t="n">
        <f aca="false">SUM(D16:P16)</f>
        <v>0</v>
      </c>
    </row>
    <row r="42" customFormat="false" ht="18" hidden="false" customHeight="true" outlineLevel="0" collapsed="false">
      <c r="A42" s="35" t="s">
        <v>112</v>
      </c>
      <c r="B42" s="35"/>
      <c r="C42" s="35"/>
      <c r="D42" s="35"/>
      <c r="E42" s="34" t="n">
        <f aca="false">SUM(D17:P17)</f>
        <v>0</v>
      </c>
    </row>
    <row r="44" customFormat="false" ht="21.75" hidden="false" customHeight="true" outlineLevel="0" collapsed="false">
      <c r="A44" s="37" t="s">
        <v>46</v>
      </c>
      <c r="B44" s="37"/>
      <c r="C44" s="37"/>
      <c r="D44" s="37"/>
      <c r="E44" s="37"/>
      <c r="F44" s="37"/>
      <c r="G44" s="37"/>
      <c r="H44" s="37"/>
      <c r="I44" s="37"/>
      <c r="J44" s="37"/>
      <c r="K44" s="37"/>
      <c r="L44" s="37"/>
      <c r="M44" s="37"/>
      <c r="N44" s="37"/>
      <c r="O44" s="37"/>
      <c r="P44" s="37"/>
    </row>
  </sheetData>
  <sheetProtection sheet="true" password="df0a"/>
  <mergeCells count="37">
    <mergeCell ref="A1:P1"/>
    <mergeCell ref="G3:P3"/>
    <mergeCell ref="A5:B5"/>
    <mergeCell ref="A6:B6"/>
    <mergeCell ref="A8:P8"/>
    <mergeCell ref="A9:B9"/>
    <mergeCell ref="A10:B10"/>
    <mergeCell ref="A11:B11"/>
    <mergeCell ref="A12:B12"/>
    <mergeCell ref="A13:B13"/>
    <mergeCell ref="A15:P15"/>
    <mergeCell ref="A16:B16"/>
    <mergeCell ref="A17:B17"/>
    <mergeCell ref="A18:B18"/>
    <mergeCell ref="A19:B19"/>
    <mergeCell ref="A20:B20"/>
    <mergeCell ref="A21:B21"/>
    <mergeCell ref="A22:B22"/>
    <mergeCell ref="A23:B23"/>
    <mergeCell ref="A24:B24"/>
    <mergeCell ref="A26:B26"/>
    <mergeCell ref="A27:B27"/>
    <mergeCell ref="A28:P28"/>
    <mergeCell ref="A30:P30"/>
    <mergeCell ref="A31:D31"/>
    <mergeCell ref="A32:D32"/>
    <mergeCell ref="A33:D33"/>
    <mergeCell ref="A34:D34"/>
    <mergeCell ref="A35:D35"/>
    <mergeCell ref="A36:D36"/>
    <mergeCell ref="A37:D37"/>
    <mergeCell ref="A38:D38"/>
    <mergeCell ref="A39:D39"/>
    <mergeCell ref="A40:D40"/>
    <mergeCell ref="A41:D41"/>
    <mergeCell ref="A42:D42"/>
    <mergeCell ref="A44:P44"/>
  </mergeCells>
  <conditionalFormatting sqref="D26">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conditionalFormatting sqref="E26">
    <cfRule type="cellIs" priority="4" operator="lessThan" aboveAverage="0" equalAverage="0" bottom="0" percent="0" rank="0" text="" dxfId="0">
      <formula>0</formula>
    </cfRule>
    <cfRule type="cellIs" priority="5" operator="greaterThan" aboveAverage="0" equalAverage="0" bottom="0" percent="0" rank="0" text="" dxfId="1">
      <formula>0</formula>
    </cfRule>
  </conditionalFormatting>
  <conditionalFormatting sqref="F26">
    <cfRule type="cellIs" priority="6" operator="lessThan" aboveAverage="0" equalAverage="0" bottom="0" percent="0" rank="0" text="" dxfId="0">
      <formula>0</formula>
    </cfRule>
    <cfRule type="cellIs" priority="7" operator="greaterThan" aboveAverage="0" equalAverage="0" bottom="0" percent="0" rank="0" text="" dxfId="1">
      <formula>0</formula>
    </cfRule>
  </conditionalFormatting>
  <conditionalFormatting sqref="G26">
    <cfRule type="cellIs" priority="8" operator="lessThan" aboveAverage="0" equalAverage="0" bottom="0" percent="0" rank="0" text="" dxfId="0">
      <formula>0</formula>
    </cfRule>
    <cfRule type="cellIs" priority="9" operator="greaterThan" aboveAverage="0" equalAverage="0" bottom="0" percent="0" rank="0" text="" dxfId="1">
      <formula>0</formula>
    </cfRule>
  </conditionalFormatting>
  <conditionalFormatting sqref="H26">
    <cfRule type="cellIs" priority="10" operator="lessThan" aboveAverage="0" equalAverage="0" bottom="0" percent="0" rank="0" text="" dxfId="0">
      <formula>0</formula>
    </cfRule>
    <cfRule type="cellIs" priority="11" operator="greaterThan" aboveAverage="0" equalAverage="0" bottom="0" percent="0" rank="0" text="" dxfId="1">
      <formula>0</formula>
    </cfRule>
  </conditionalFormatting>
  <conditionalFormatting sqref="I26">
    <cfRule type="cellIs" priority="12" operator="lessThan" aboveAverage="0" equalAverage="0" bottom="0" percent="0" rank="0" text="" dxfId="0">
      <formula>0</formula>
    </cfRule>
    <cfRule type="cellIs" priority="13" operator="greaterThan" aboveAverage="0" equalAverage="0" bottom="0" percent="0" rank="0" text="" dxfId="1">
      <formula>0</formula>
    </cfRule>
  </conditionalFormatting>
  <conditionalFormatting sqref="J26">
    <cfRule type="cellIs" priority="14" operator="lessThan" aboveAverage="0" equalAverage="0" bottom="0" percent="0" rank="0" text="" dxfId="0">
      <formula>0</formula>
    </cfRule>
    <cfRule type="cellIs" priority="15" operator="greaterThan" aboveAverage="0" equalAverage="0" bottom="0" percent="0" rank="0" text="" dxfId="1">
      <formula>0</formula>
    </cfRule>
  </conditionalFormatting>
  <conditionalFormatting sqref="K26">
    <cfRule type="cellIs" priority="16" operator="lessThan" aboveAverage="0" equalAverage="0" bottom="0" percent="0" rank="0" text="" dxfId="0">
      <formula>0</formula>
    </cfRule>
    <cfRule type="cellIs" priority="17" operator="greaterThan" aboveAverage="0" equalAverage="0" bottom="0" percent="0" rank="0" text="" dxfId="1">
      <formula>0</formula>
    </cfRule>
  </conditionalFormatting>
  <conditionalFormatting sqref="L26">
    <cfRule type="cellIs" priority="18" operator="lessThan" aboveAverage="0" equalAverage="0" bottom="0" percent="0" rank="0" text="" dxfId="0">
      <formula>0</formula>
    </cfRule>
    <cfRule type="cellIs" priority="19" operator="greaterThan" aboveAverage="0" equalAverage="0" bottom="0" percent="0" rank="0" text="" dxfId="1">
      <formula>0</formula>
    </cfRule>
  </conditionalFormatting>
  <conditionalFormatting sqref="M26">
    <cfRule type="cellIs" priority="20" operator="lessThan" aboveAverage="0" equalAverage="0" bottom="0" percent="0" rank="0" text="" dxfId="0">
      <formula>0</formula>
    </cfRule>
    <cfRule type="cellIs" priority="21" operator="greaterThan" aboveAverage="0" equalAverage="0" bottom="0" percent="0" rank="0" text="" dxfId="1">
      <formula>0</formula>
    </cfRule>
  </conditionalFormatting>
  <conditionalFormatting sqref="N26">
    <cfRule type="cellIs" priority="22" operator="lessThan" aboveAverage="0" equalAverage="0" bottom="0" percent="0" rank="0" text="" dxfId="0">
      <formula>0</formula>
    </cfRule>
    <cfRule type="cellIs" priority="23" operator="greaterThan" aboveAverage="0" equalAverage="0" bottom="0" percent="0" rank="0" text="" dxfId="1">
      <formula>0</formula>
    </cfRule>
  </conditionalFormatting>
  <conditionalFormatting sqref="O26">
    <cfRule type="cellIs" priority="24" operator="lessThan" aboveAverage="0" equalAverage="0" bottom="0" percent="0" rank="0" text="" dxfId="0">
      <formula>0</formula>
    </cfRule>
    <cfRule type="cellIs" priority="25" operator="greaterThan" aboveAverage="0" equalAverage="0" bottom="0" percent="0" rank="0" text="" dxfId="1">
      <formula>0</formula>
    </cfRule>
  </conditionalFormatting>
  <conditionalFormatting sqref="P26">
    <cfRule type="cellIs" priority="26" operator="lessThan" aboveAverage="0" equalAverage="0" bottom="0" percent="0" rank="0" text="" dxfId="0">
      <formula>0</formula>
    </cfRule>
    <cfRule type="cellIs" priority="27" operator="greaterThan" aboveAverage="0" equalAverage="0" bottom="0" percent="0" rank="0" text="" dxfId="1">
      <formula>0</formula>
    </cfRule>
  </conditionalFormatting>
  <conditionalFormatting sqref="D27">
    <cfRule type="expression" priority="28" aboveAverage="0" equalAverage="0" bottom="0" percent="0" rank="0" text="" dxfId="0">
      <formula>D27&lt;F3</formula>
    </cfRule>
    <cfRule type="expression" priority="29" aboveAverage="0" equalAverage="0" bottom="0" percent="0" rank="0" text="" dxfId="2">
      <formula>AND(D27&gt;=F3,D27&lt;F3*1.2)</formula>
    </cfRule>
    <cfRule type="expression" priority="30" aboveAverage="0" equalAverage="0" bottom="0" percent="0" rank="0" text="" dxfId="1">
      <formula>D27&gt;=F3*1.2</formula>
    </cfRule>
  </conditionalFormatting>
  <conditionalFormatting sqref="E27">
    <cfRule type="expression" priority="31" aboveAverage="0" equalAverage="0" bottom="0" percent="0" rank="0" text="" dxfId="0">
      <formula>E27&lt;F3</formula>
    </cfRule>
    <cfRule type="expression" priority="32" aboveAverage="0" equalAverage="0" bottom="0" percent="0" rank="0" text="" dxfId="2">
      <formula>AND(E27&gt;=F3,E27&lt;F3*1.2)</formula>
    </cfRule>
    <cfRule type="expression" priority="33" aboveAverage="0" equalAverage="0" bottom="0" percent="0" rank="0" text="" dxfId="1">
      <formula>E27&gt;=F3*1.2</formula>
    </cfRule>
  </conditionalFormatting>
  <conditionalFormatting sqref="F27">
    <cfRule type="expression" priority="34" aboveAverage="0" equalAverage="0" bottom="0" percent="0" rank="0" text="" dxfId="0">
      <formula>F27&lt;F3</formula>
    </cfRule>
    <cfRule type="expression" priority="35" aboveAverage="0" equalAverage="0" bottom="0" percent="0" rank="0" text="" dxfId="2">
      <formula>AND(F27&gt;=F3,F27&lt;F3*1.2)</formula>
    </cfRule>
    <cfRule type="expression" priority="36" aboveAverage="0" equalAverage="0" bottom="0" percent="0" rank="0" text="" dxfId="1">
      <formula>F27&gt;=F3*1.2</formula>
    </cfRule>
  </conditionalFormatting>
  <conditionalFormatting sqref="G27">
    <cfRule type="expression" priority="37" aboveAverage="0" equalAverage="0" bottom="0" percent="0" rank="0" text="" dxfId="0">
      <formula>G27&lt;F3</formula>
    </cfRule>
    <cfRule type="expression" priority="38" aboveAverage="0" equalAverage="0" bottom="0" percent="0" rank="0" text="" dxfId="2">
      <formula>AND(G27&gt;=F3,G27&lt;F3*1.2)</formula>
    </cfRule>
    <cfRule type="expression" priority="39" aboveAverage="0" equalAverage="0" bottom="0" percent="0" rank="0" text="" dxfId="1">
      <formula>G27&gt;=F3*1.2</formula>
    </cfRule>
  </conditionalFormatting>
  <conditionalFormatting sqref="H27">
    <cfRule type="expression" priority="40" aboveAverage="0" equalAverage="0" bottom="0" percent="0" rank="0" text="" dxfId="0">
      <formula>H27&lt;F3</formula>
    </cfRule>
    <cfRule type="expression" priority="41" aboveAverage="0" equalAverage="0" bottom="0" percent="0" rank="0" text="" dxfId="2">
      <formula>AND(H27&gt;=F3,H27&lt;F3*1.2)</formula>
    </cfRule>
    <cfRule type="expression" priority="42" aboveAverage="0" equalAverage="0" bottom="0" percent="0" rank="0" text="" dxfId="1">
      <formula>H27&gt;=F3*1.2</formula>
    </cfRule>
  </conditionalFormatting>
  <conditionalFormatting sqref="I27">
    <cfRule type="expression" priority="43" aboveAverage="0" equalAverage="0" bottom="0" percent="0" rank="0" text="" dxfId="0">
      <formula>I27&lt;F3</formula>
    </cfRule>
    <cfRule type="expression" priority="44" aboveAverage="0" equalAverage="0" bottom="0" percent="0" rank="0" text="" dxfId="2">
      <formula>AND(I27&gt;=F3,I27&lt;F3*1.2)</formula>
    </cfRule>
    <cfRule type="expression" priority="45" aboveAverage="0" equalAverage="0" bottom="0" percent="0" rank="0" text="" dxfId="1">
      <formula>I27&gt;=F3*1.2</formula>
    </cfRule>
  </conditionalFormatting>
  <conditionalFormatting sqref="J27">
    <cfRule type="expression" priority="46" aboveAverage="0" equalAverage="0" bottom="0" percent="0" rank="0" text="" dxfId="0">
      <formula>J27&lt;F3</formula>
    </cfRule>
    <cfRule type="expression" priority="47" aboveAverage="0" equalAverage="0" bottom="0" percent="0" rank="0" text="" dxfId="2">
      <formula>AND(J27&gt;=F3,J27&lt;F3*1.2)</formula>
    </cfRule>
    <cfRule type="expression" priority="48" aboveAverage="0" equalAverage="0" bottom="0" percent="0" rank="0" text="" dxfId="1">
      <formula>J27&gt;=F3*1.2</formula>
    </cfRule>
  </conditionalFormatting>
  <conditionalFormatting sqref="K27">
    <cfRule type="expression" priority="49" aboveAverage="0" equalAverage="0" bottom="0" percent="0" rank="0" text="" dxfId="0">
      <formula>K27&lt;F3</formula>
    </cfRule>
    <cfRule type="expression" priority="50" aboveAverage="0" equalAverage="0" bottom="0" percent="0" rank="0" text="" dxfId="2">
      <formula>AND(K27&gt;=F3,K27&lt;F3*1.2)</formula>
    </cfRule>
    <cfRule type="expression" priority="51" aboveAverage="0" equalAverage="0" bottom="0" percent="0" rank="0" text="" dxfId="1">
      <formula>K27&gt;=F3*1.2</formula>
    </cfRule>
  </conditionalFormatting>
  <conditionalFormatting sqref="L27">
    <cfRule type="expression" priority="52" aboveAverage="0" equalAverage="0" bottom="0" percent="0" rank="0" text="" dxfId="0">
      <formula>L27&lt;F3</formula>
    </cfRule>
    <cfRule type="expression" priority="53" aboveAverage="0" equalAverage="0" bottom="0" percent="0" rank="0" text="" dxfId="2">
      <formula>AND(L27&gt;=F3,L27&lt;F3*1.2)</formula>
    </cfRule>
    <cfRule type="expression" priority="54" aboveAverage="0" equalAverage="0" bottom="0" percent="0" rank="0" text="" dxfId="1">
      <formula>L27&gt;=F3*1.2</formula>
    </cfRule>
  </conditionalFormatting>
  <conditionalFormatting sqref="M27">
    <cfRule type="expression" priority="55" aboveAverage="0" equalAverage="0" bottom="0" percent="0" rank="0" text="" dxfId="0">
      <formula>M27&lt;F3</formula>
    </cfRule>
    <cfRule type="expression" priority="56" aboveAverage="0" equalAverage="0" bottom="0" percent="0" rank="0" text="" dxfId="2">
      <formula>AND(M27&gt;=F3,M27&lt;F3*1.2)</formula>
    </cfRule>
    <cfRule type="expression" priority="57" aboveAverage="0" equalAverage="0" bottom="0" percent="0" rank="0" text="" dxfId="1">
      <formula>M27&gt;=F3*1.2</formula>
    </cfRule>
  </conditionalFormatting>
  <conditionalFormatting sqref="N27">
    <cfRule type="expression" priority="58" aboveAverage="0" equalAverage="0" bottom="0" percent="0" rank="0" text="" dxfId="0">
      <formula>N27&lt;F3</formula>
    </cfRule>
    <cfRule type="expression" priority="59" aboveAverage="0" equalAverage="0" bottom="0" percent="0" rank="0" text="" dxfId="2">
      <formula>AND(N27&gt;=F3,N27&lt;F3*1.2)</formula>
    </cfRule>
    <cfRule type="expression" priority="60" aboveAverage="0" equalAverage="0" bottom="0" percent="0" rank="0" text="" dxfId="1">
      <formula>N27&gt;=F3*1.2</formula>
    </cfRule>
  </conditionalFormatting>
  <conditionalFormatting sqref="O27">
    <cfRule type="expression" priority="61" aboveAverage="0" equalAverage="0" bottom="0" percent="0" rank="0" text="" dxfId="0">
      <formula>O27&lt;F3</formula>
    </cfRule>
    <cfRule type="expression" priority="62" aboveAverage="0" equalAverage="0" bottom="0" percent="0" rank="0" text="" dxfId="2">
      <formula>AND(O27&gt;=F3,O27&lt;F3*1.2)</formula>
    </cfRule>
    <cfRule type="expression" priority="63" aboveAverage="0" equalAverage="0" bottom="0" percent="0" rank="0" text="" dxfId="1">
      <formula>O27&gt;=F3*1.2</formula>
    </cfRule>
  </conditionalFormatting>
  <conditionalFormatting sqref="P27">
    <cfRule type="expression" priority="64" aboveAverage="0" equalAverage="0" bottom="0" percent="0" rank="0" text="" dxfId="0">
      <formula>P27&lt;F3</formula>
    </cfRule>
    <cfRule type="expression" priority="65" aboveAverage="0" equalAverage="0" bottom="0" percent="0" rank="0" text="" dxfId="2">
      <formula>AND(P27&gt;=F3,P27&lt;F3*1.2)</formula>
    </cfRule>
    <cfRule type="expression" priority="66" aboveAverage="0" equalAverage="0" bottom="0" percent="0" rank="0" text="" dxfId="1">
      <formula>P27&gt;=F3*1.2</formula>
    </cfRule>
  </conditionalFormatting>
  <conditionalFormatting sqref="E36">
    <cfRule type="cellIs" priority="67" operator="lessThan" aboveAverage="0" equalAverage="0" bottom="0" percent="0" rank="0" text="" dxfId="0">
      <formula>0</formula>
    </cfRule>
  </conditionalFormatting>
  <conditionalFormatting sqref="E38">
    <cfRule type="cellIs" priority="68" operator="greaterThan" aboveAverage="0" equalAverage="0" bottom="0" percent="0" rank="0" text="" dxfId="0">
      <formula>0</formula>
    </cfRule>
    <cfRule type="cellIs" priority="69"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
    <col collapsed="false" customWidth="true" hidden="false" outlineLevel="0" max="3" min="3" style="0" width="30"/>
    <col collapsed="false" customWidth="true" hidden="false" outlineLevel="0" max="16" min="4" style="0" width="13"/>
  </cols>
  <sheetData>
    <row r="1" customFormat="false" ht="36" hidden="false" customHeight="true" outlineLevel="0" collapsed="false">
      <c r="A1" s="1" t="s">
        <v>116</v>
      </c>
      <c r="B1" s="1"/>
      <c r="C1" s="1"/>
      <c r="D1" s="1"/>
      <c r="E1" s="1"/>
      <c r="F1" s="1"/>
      <c r="G1" s="1"/>
      <c r="H1" s="1"/>
      <c r="I1" s="1"/>
      <c r="J1" s="1"/>
      <c r="K1" s="1"/>
      <c r="L1" s="1"/>
      <c r="M1" s="1"/>
      <c r="N1" s="1"/>
      <c r="O1" s="1"/>
      <c r="P1" s="1"/>
    </row>
    <row r="2" customFormat="false" ht="19.5" hidden="false" customHeight="true" outlineLevel="0" collapsed="false">
      <c r="A2" s="2" t="s">
        <v>48</v>
      </c>
      <c r="B2" s="3"/>
      <c r="D2" s="2" t="s">
        <v>49</v>
      </c>
      <c r="E2" s="3"/>
      <c r="G2" s="2" t="s">
        <v>50</v>
      </c>
      <c r="H2" s="3"/>
      <c r="J2" s="2" t="s">
        <v>4</v>
      </c>
      <c r="K2" s="3"/>
    </row>
    <row r="3" customFormat="false" ht="21.75" hidden="false" customHeight="true" outlineLevel="0" collapsed="false">
      <c r="A3" s="38" t="s">
        <v>51</v>
      </c>
      <c r="B3" s="5" t="n">
        <v>0</v>
      </c>
      <c r="E3" s="4" t="s">
        <v>52</v>
      </c>
      <c r="F3" s="5" t="n">
        <v>5000</v>
      </c>
      <c r="G3" s="6" t="s">
        <v>53</v>
      </c>
      <c r="H3" s="6"/>
      <c r="I3" s="6"/>
      <c r="J3" s="6"/>
      <c r="K3" s="6"/>
      <c r="L3" s="6"/>
      <c r="M3" s="6"/>
      <c r="N3" s="6"/>
      <c r="O3" s="6"/>
      <c r="P3" s="6"/>
    </row>
    <row r="5" customFormat="false" ht="18" hidden="false" customHeight="true" outlineLevel="0" collapsed="false">
      <c r="A5" s="7" t="s">
        <v>54</v>
      </c>
      <c r="B5" s="7"/>
      <c r="C5" s="8" t="s">
        <v>55</v>
      </c>
      <c r="D5" s="9" t="s">
        <v>56</v>
      </c>
      <c r="E5" s="9" t="s">
        <v>57</v>
      </c>
      <c r="F5" s="9" t="s">
        <v>58</v>
      </c>
      <c r="G5" s="9" t="s">
        <v>59</v>
      </c>
      <c r="H5" s="9" t="s">
        <v>60</v>
      </c>
      <c r="I5" s="9" t="s">
        <v>61</v>
      </c>
      <c r="J5" s="9" t="s">
        <v>62</v>
      </c>
      <c r="K5" s="9" t="s">
        <v>63</v>
      </c>
      <c r="L5" s="9" t="s">
        <v>64</v>
      </c>
      <c r="M5" s="9" t="s">
        <v>65</v>
      </c>
      <c r="N5" s="9" t="s">
        <v>66</v>
      </c>
      <c r="O5" s="9" t="s">
        <v>67</v>
      </c>
      <c r="P5" s="9" t="s">
        <v>68</v>
      </c>
    </row>
    <row r="6" customFormat="false" ht="18" hidden="false" customHeight="true" outlineLevel="0" collapsed="false">
      <c r="A6" s="10" t="s">
        <v>22</v>
      </c>
      <c r="B6" s="10"/>
      <c r="C6" s="39"/>
      <c r="D6" s="40"/>
      <c r="E6" s="40"/>
      <c r="F6" s="40"/>
      <c r="G6" s="40"/>
      <c r="H6" s="40"/>
      <c r="I6" s="40"/>
      <c r="J6" s="40"/>
      <c r="K6" s="40"/>
      <c r="L6" s="40"/>
      <c r="M6" s="40"/>
      <c r="N6" s="40"/>
      <c r="O6" s="40"/>
      <c r="P6" s="40"/>
    </row>
    <row r="7" customFormat="false" ht="3.75" hidden="false" customHeight="true" outlineLevel="0" collapsed="false"/>
    <row r="8" customFormat="false" ht="19.5" hidden="false" customHeight="true" outlineLevel="0" collapsed="false">
      <c r="A8" s="27" t="s">
        <v>69</v>
      </c>
      <c r="B8" s="27"/>
      <c r="C8" s="27"/>
      <c r="D8" s="27"/>
      <c r="E8" s="27"/>
      <c r="F8" s="27"/>
      <c r="G8" s="27"/>
      <c r="H8" s="27"/>
      <c r="I8" s="27"/>
      <c r="J8" s="27"/>
      <c r="K8" s="27"/>
      <c r="L8" s="27"/>
      <c r="M8" s="27"/>
      <c r="N8" s="27"/>
      <c r="O8" s="27"/>
      <c r="P8" s="27"/>
    </row>
    <row r="9" customFormat="false" ht="18" hidden="false" customHeight="true" outlineLevel="0" collapsed="false">
      <c r="A9" s="41" t="s">
        <v>70</v>
      </c>
      <c r="B9" s="41"/>
      <c r="C9" s="42" t="s">
        <v>71</v>
      </c>
      <c r="D9" s="43"/>
      <c r="E9" s="43"/>
      <c r="F9" s="43"/>
      <c r="G9" s="43"/>
      <c r="H9" s="43"/>
      <c r="I9" s="43"/>
      <c r="J9" s="43"/>
      <c r="K9" s="43"/>
      <c r="L9" s="43"/>
      <c r="M9" s="43"/>
      <c r="N9" s="43"/>
      <c r="O9" s="43"/>
      <c r="P9" s="43"/>
    </row>
    <row r="10" customFormat="false" ht="18" hidden="false" customHeight="true" outlineLevel="0" collapsed="false">
      <c r="A10" s="44" t="s">
        <v>72</v>
      </c>
      <c r="B10" s="44"/>
      <c r="C10" s="42" t="s">
        <v>73</v>
      </c>
      <c r="D10" s="45"/>
      <c r="E10" s="45"/>
      <c r="F10" s="45"/>
      <c r="G10" s="45"/>
      <c r="H10" s="45"/>
      <c r="I10" s="45"/>
      <c r="J10" s="45"/>
      <c r="K10" s="45"/>
      <c r="L10" s="45"/>
      <c r="M10" s="45"/>
      <c r="N10" s="45"/>
      <c r="O10" s="45"/>
      <c r="P10" s="45"/>
    </row>
    <row r="11" customFormat="false" ht="18" hidden="false" customHeight="true" outlineLevel="0" collapsed="false">
      <c r="A11" s="41" t="s">
        <v>74</v>
      </c>
      <c r="B11" s="41"/>
      <c r="C11" s="42" t="s">
        <v>75</v>
      </c>
      <c r="D11" s="43"/>
      <c r="E11" s="43"/>
      <c r="F11" s="43"/>
      <c r="G11" s="43"/>
      <c r="H11" s="43"/>
      <c r="I11" s="43"/>
      <c r="J11" s="43"/>
      <c r="K11" s="43"/>
      <c r="L11" s="43"/>
      <c r="M11" s="43"/>
      <c r="N11" s="43"/>
      <c r="O11" s="43"/>
      <c r="P11" s="43"/>
    </row>
    <row r="12" customFormat="false" ht="18" hidden="false" customHeight="true" outlineLevel="0" collapsed="false">
      <c r="A12" s="44" t="s">
        <v>76</v>
      </c>
      <c r="B12" s="44"/>
      <c r="C12" s="42" t="s">
        <v>77</v>
      </c>
      <c r="D12" s="45"/>
      <c r="E12" s="45"/>
      <c r="F12" s="45"/>
      <c r="G12" s="45"/>
      <c r="H12" s="45"/>
      <c r="I12" s="45"/>
      <c r="J12" s="45"/>
      <c r="K12" s="45"/>
      <c r="L12" s="45"/>
      <c r="M12" s="45"/>
      <c r="N12" s="45"/>
      <c r="O12" s="45"/>
      <c r="P12" s="45"/>
    </row>
    <row r="13" customFormat="false" ht="19.5" hidden="false" customHeight="true" outlineLevel="0" collapsed="false">
      <c r="A13" s="27" t="s">
        <v>78</v>
      </c>
      <c r="B13" s="27"/>
      <c r="C13" s="46"/>
      <c r="D13" s="28" t="n">
        <f aca="false">SUM(D9:D12)</f>
        <v>0</v>
      </c>
      <c r="E13" s="28" t="n">
        <f aca="false">SUM(E9:E12)</f>
        <v>0</v>
      </c>
      <c r="F13" s="28" t="n">
        <f aca="false">SUM(F9:F12)</f>
        <v>0</v>
      </c>
      <c r="G13" s="28" t="n">
        <f aca="false">SUM(G9:G12)</f>
        <v>0</v>
      </c>
      <c r="H13" s="28" t="n">
        <f aca="false">SUM(H9:H12)</f>
        <v>0</v>
      </c>
      <c r="I13" s="28" t="n">
        <f aca="false">SUM(I9:I12)</f>
        <v>0</v>
      </c>
      <c r="J13" s="28" t="n">
        <f aca="false">SUM(J9:J12)</f>
        <v>0</v>
      </c>
      <c r="K13" s="28" t="n">
        <f aca="false">SUM(K9:K12)</f>
        <v>0</v>
      </c>
      <c r="L13" s="28" t="n">
        <f aca="false">SUM(L9:L12)</f>
        <v>0</v>
      </c>
      <c r="M13" s="28" t="n">
        <f aca="false">SUM(M9:M12)</f>
        <v>0</v>
      </c>
      <c r="N13" s="28" t="n">
        <f aca="false">SUM(N9:N12)</f>
        <v>0</v>
      </c>
      <c r="O13" s="28" t="n">
        <f aca="false">SUM(O9:O12)</f>
        <v>0</v>
      </c>
      <c r="P13" s="28" t="n">
        <f aca="false">SUM(P9:P12)</f>
        <v>0</v>
      </c>
    </row>
    <row r="14" customFormat="false" ht="3.75" hidden="false" customHeight="true" outlineLevel="0" collapsed="false"/>
    <row r="15" customFormat="false" ht="19.5" hidden="false" customHeight="true" outlineLevel="0" collapsed="false">
      <c r="A15" s="29" t="s">
        <v>79</v>
      </c>
      <c r="B15" s="29"/>
      <c r="C15" s="29"/>
      <c r="D15" s="29"/>
      <c r="E15" s="29"/>
      <c r="F15" s="29"/>
      <c r="G15" s="29"/>
      <c r="H15" s="29"/>
      <c r="I15" s="29"/>
      <c r="J15" s="29"/>
      <c r="K15" s="29"/>
      <c r="L15" s="29"/>
      <c r="M15" s="29"/>
      <c r="N15" s="29"/>
      <c r="O15" s="29"/>
      <c r="P15" s="29"/>
    </row>
    <row r="16" customFormat="false" ht="18" hidden="false" customHeight="true" outlineLevel="0" collapsed="false">
      <c r="A16" s="44" t="s">
        <v>80</v>
      </c>
      <c r="B16" s="44"/>
      <c r="C16" s="42" t="s">
        <v>81</v>
      </c>
      <c r="D16" s="45"/>
      <c r="E16" s="45"/>
      <c r="F16" s="45"/>
      <c r="G16" s="45"/>
      <c r="H16" s="45"/>
      <c r="I16" s="45"/>
      <c r="J16" s="45"/>
      <c r="K16" s="45"/>
      <c r="L16" s="45"/>
      <c r="M16" s="45"/>
      <c r="N16" s="45"/>
      <c r="O16" s="45"/>
      <c r="P16" s="45"/>
    </row>
    <row r="17" customFormat="false" ht="18" hidden="false" customHeight="true" outlineLevel="0" collapsed="false">
      <c r="A17" s="18" t="s">
        <v>82</v>
      </c>
      <c r="B17" s="18"/>
      <c r="C17" s="42" t="s">
        <v>83</v>
      </c>
      <c r="D17" s="47"/>
      <c r="E17" s="47"/>
      <c r="F17" s="47"/>
      <c r="G17" s="47"/>
      <c r="H17" s="47"/>
      <c r="I17" s="47"/>
      <c r="J17" s="47"/>
      <c r="K17" s="47"/>
      <c r="L17" s="47"/>
      <c r="M17" s="47"/>
      <c r="N17" s="47"/>
      <c r="O17" s="47"/>
      <c r="P17" s="47"/>
    </row>
    <row r="18" customFormat="false" ht="18" hidden="false" customHeight="true" outlineLevel="0" collapsed="false">
      <c r="A18" s="44" t="s">
        <v>84</v>
      </c>
      <c r="B18" s="44"/>
      <c r="C18" s="42" t="s">
        <v>85</v>
      </c>
      <c r="D18" s="45"/>
      <c r="E18" s="45"/>
      <c r="F18" s="45"/>
      <c r="G18" s="45"/>
      <c r="H18" s="45"/>
      <c r="I18" s="45"/>
      <c r="J18" s="45"/>
      <c r="K18" s="45"/>
      <c r="L18" s="45"/>
      <c r="M18" s="45"/>
      <c r="N18" s="45"/>
      <c r="O18" s="45"/>
      <c r="P18" s="45"/>
    </row>
    <row r="19" customFormat="false" ht="18" hidden="false" customHeight="true" outlineLevel="0" collapsed="false">
      <c r="A19" s="18" t="s">
        <v>86</v>
      </c>
      <c r="B19" s="18"/>
      <c r="C19" s="42" t="s">
        <v>87</v>
      </c>
      <c r="D19" s="47"/>
      <c r="E19" s="47"/>
      <c r="F19" s="47"/>
      <c r="G19" s="47"/>
      <c r="H19" s="47"/>
      <c r="I19" s="47"/>
      <c r="J19" s="47"/>
      <c r="K19" s="47"/>
      <c r="L19" s="47"/>
      <c r="M19" s="47"/>
      <c r="N19" s="47"/>
      <c r="O19" s="47"/>
      <c r="P19" s="47"/>
    </row>
    <row r="20" customFormat="false" ht="18" hidden="false" customHeight="true" outlineLevel="0" collapsed="false">
      <c r="A20" s="44" t="s">
        <v>88</v>
      </c>
      <c r="B20" s="44"/>
      <c r="C20" s="42" t="s">
        <v>89</v>
      </c>
      <c r="D20" s="45"/>
      <c r="E20" s="45"/>
      <c r="F20" s="45"/>
      <c r="G20" s="45"/>
      <c r="H20" s="45"/>
      <c r="I20" s="45"/>
      <c r="J20" s="45"/>
      <c r="K20" s="45"/>
      <c r="L20" s="45"/>
      <c r="M20" s="45"/>
      <c r="N20" s="45"/>
      <c r="O20" s="45"/>
      <c r="P20" s="45"/>
    </row>
    <row r="21" customFormat="false" ht="18" hidden="false" customHeight="true" outlineLevel="0" collapsed="false">
      <c r="A21" s="18" t="s">
        <v>90</v>
      </c>
      <c r="B21" s="18"/>
      <c r="C21" s="42" t="s">
        <v>91</v>
      </c>
      <c r="D21" s="47"/>
      <c r="E21" s="47"/>
      <c r="F21" s="47"/>
      <c r="G21" s="47"/>
      <c r="H21" s="47"/>
      <c r="I21" s="47"/>
      <c r="J21" s="47"/>
      <c r="K21" s="47"/>
      <c r="L21" s="47"/>
      <c r="M21" s="47"/>
      <c r="N21" s="47"/>
      <c r="O21" s="47"/>
      <c r="P21" s="47"/>
    </row>
    <row r="22" customFormat="false" ht="18" hidden="false" customHeight="true" outlineLevel="0" collapsed="false">
      <c r="A22" s="44" t="s">
        <v>92</v>
      </c>
      <c r="B22" s="44"/>
      <c r="C22" s="42" t="s">
        <v>93</v>
      </c>
      <c r="D22" s="45"/>
      <c r="E22" s="45"/>
      <c r="F22" s="45"/>
      <c r="G22" s="45"/>
      <c r="H22" s="45"/>
      <c r="I22" s="45"/>
      <c r="J22" s="45"/>
      <c r="K22" s="45"/>
      <c r="L22" s="45"/>
      <c r="M22" s="45"/>
      <c r="N22" s="45"/>
      <c r="O22" s="45"/>
      <c r="P22" s="45"/>
    </row>
    <row r="23" customFormat="false" ht="18" hidden="false" customHeight="true" outlineLevel="0" collapsed="false">
      <c r="A23" s="18" t="s">
        <v>94</v>
      </c>
      <c r="B23" s="18"/>
      <c r="C23" s="42" t="s">
        <v>95</v>
      </c>
      <c r="D23" s="47"/>
      <c r="E23" s="47"/>
      <c r="F23" s="47"/>
      <c r="G23" s="47"/>
      <c r="H23" s="47"/>
      <c r="I23" s="47"/>
      <c r="J23" s="47"/>
      <c r="K23" s="47"/>
      <c r="L23" s="47"/>
      <c r="M23" s="47"/>
      <c r="N23" s="47"/>
      <c r="O23" s="47"/>
      <c r="P23" s="47"/>
    </row>
    <row r="24" customFormat="false" ht="19.5" hidden="false" customHeight="true" outlineLevel="0" collapsed="false">
      <c r="A24" s="29" t="s">
        <v>96</v>
      </c>
      <c r="B24" s="29"/>
      <c r="C24" s="48"/>
      <c r="D24" s="30" t="n">
        <f aca="false">SUM(D16:D23)</f>
        <v>0</v>
      </c>
      <c r="E24" s="30" t="n">
        <f aca="false">SUM(E16:E23)</f>
        <v>0</v>
      </c>
      <c r="F24" s="30" t="n">
        <f aca="false">SUM(F16:F23)</f>
        <v>0</v>
      </c>
      <c r="G24" s="30" t="n">
        <f aca="false">SUM(G16:G23)</f>
        <v>0</v>
      </c>
      <c r="H24" s="30" t="n">
        <f aca="false">SUM(H16:H23)</f>
        <v>0</v>
      </c>
      <c r="I24" s="30" t="n">
        <f aca="false">SUM(I16:I23)</f>
        <v>0</v>
      </c>
      <c r="J24" s="30" t="n">
        <f aca="false">SUM(J16:J23)</f>
        <v>0</v>
      </c>
      <c r="K24" s="30" t="n">
        <f aca="false">SUM(K16:K23)</f>
        <v>0</v>
      </c>
      <c r="L24" s="30" t="n">
        <f aca="false">SUM(L16:L23)</f>
        <v>0</v>
      </c>
      <c r="M24" s="30" t="n">
        <f aca="false">SUM(M16:M23)</f>
        <v>0</v>
      </c>
      <c r="N24" s="30" t="n">
        <f aca="false">SUM(N16:N23)</f>
        <v>0</v>
      </c>
      <c r="O24" s="30" t="n">
        <f aca="false">SUM(O16:O23)</f>
        <v>0</v>
      </c>
      <c r="P24" s="30" t="n">
        <f aca="false">SUM(P16:P23)</f>
        <v>0</v>
      </c>
    </row>
    <row r="25" customFormat="false" ht="3.75" hidden="false" customHeight="true" outlineLevel="0" collapsed="false"/>
    <row r="26" customFormat="false" ht="19.5" hidden="false" customHeight="true" outlineLevel="0" collapsed="false">
      <c r="A26" s="13" t="s">
        <v>97</v>
      </c>
      <c r="B26" s="13"/>
      <c r="C26" s="49"/>
      <c r="D26" s="22" t="n">
        <f aca="false">D13-D24</f>
        <v>0</v>
      </c>
      <c r="E26" s="22" t="n">
        <f aca="false">E13-E24</f>
        <v>0</v>
      </c>
      <c r="F26" s="22" t="n">
        <f aca="false">F13-F24</f>
        <v>0</v>
      </c>
      <c r="G26" s="22" t="n">
        <f aca="false">G13-G24</f>
        <v>0</v>
      </c>
      <c r="H26" s="22" t="n">
        <f aca="false">H13-H24</f>
        <v>0</v>
      </c>
      <c r="I26" s="22" t="n">
        <f aca="false">I13-I24</f>
        <v>0</v>
      </c>
      <c r="J26" s="22" t="n">
        <f aca="false">J13-J24</f>
        <v>0</v>
      </c>
      <c r="K26" s="22" t="n">
        <f aca="false">K13-K24</f>
        <v>0</v>
      </c>
      <c r="L26" s="22" t="n">
        <f aca="false">L13-L24</f>
        <v>0</v>
      </c>
      <c r="M26" s="22" t="n">
        <f aca="false">M13-M24</f>
        <v>0</v>
      </c>
      <c r="N26" s="22" t="n">
        <f aca="false">N13-N24</f>
        <v>0</v>
      </c>
      <c r="O26" s="22" t="n">
        <f aca="false">O13-O24</f>
        <v>0</v>
      </c>
      <c r="P26" s="22" t="n">
        <f aca="false">P13-P24</f>
        <v>0</v>
      </c>
    </row>
    <row r="27" customFormat="false" ht="19.5" hidden="false" customHeight="true" outlineLevel="0" collapsed="false">
      <c r="A27" s="14" t="s">
        <v>98</v>
      </c>
      <c r="B27" s="14"/>
      <c r="C27" s="50"/>
      <c r="D27" s="31" t="n">
        <f aca="false">B3+D26</f>
        <v>0</v>
      </c>
      <c r="E27" s="31" t="n">
        <f aca="false">D27+E26</f>
        <v>0</v>
      </c>
      <c r="F27" s="31" t="n">
        <f aca="false">E27+F26</f>
        <v>0</v>
      </c>
      <c r="G27" s="31" t="n">
        <f aca="false">F27+G26</f>
        <v>0</v>
      </c>
      <c r="H27" s="31" t="n">
        <f aca="false">G27+H26</f>
        <v>0</v>
      </c>
      <c r="I27" s="31" t="n">
        <f aca="false">H27+I26</f>
        <v>0</v>
      </c>
      <c r="J27" s="31" t="n">
        <f aca="false">I27+J26</f>
        <v>0</v>
      </c>
      <c r="K27" s="31" t="n">
        <f aca="false">J27+K26</f>
        <v>0</v>
      </c>
      <c r="L27" s="31" t="n">
        <f aca="false">K27+L26</f>
        <v>0</v>
      </c>
      <c r="M27" s="31" t="n">
        <f aca="false">L27+M26</f>
        <v>0</v>
      </c>
      <c r="N27" s="31" t="n">
        <f aca="false">M27+N26</f>
        <v>0</v>
      </c>
      <c r="O27" s="31" t="n">
        <f aca="false">N27+O26</f>
        <v>0</v>
      </c>
      <c r="P27" s="31" t="n">
        <f aca="false">O27+P26</f>
        <v>0</v>
      </c>
    </row>
    <row r="28" customFormat="false" ht="18" hidden="false" customHeight="true" outlineLevel="0" collapsed="false">
      <c r="A28" s="32" t="s">
        <v>99</v>
      </c>
      <c r="B28" s="32"/>
      <c r="C28" s="32"/>
      <c r="D28" s="32"/>
      <c r="E28" s="32"/>
      <c r="F28" s="32"/>
      <c r="G28" s="32"/>
      <c r="H28" s="32"/>
      <c r="I28" s="32"/>
      <c r="J28" s="32"/>
      <c r="K28" s="32"/>
      <c r="L28" s="32"/>
      <c r="M28" s="32"/>
      <c r="N28" s="32"/>
      <c r="O28" s="32"/>
      <c r="P28" s="32"/>
    </row>
    <row r="29" customFormat="false" ht="6" hidden="false" customHeight="true" outlineLevel="0" collapsed="false"/>
    <row r="30" customFormat="false" ht="19.5" hidden="false" customHeight="true" outlineLevel="0" collapsed="false">
      <c r="A30" s="13" t="s">
        <v>100</v>
      </c>
      <c r="B30" s="13"/>
      <c r="C30" s="13"/>
      <c r="D30" s="13"/>
      <c r="E30" s="13"/>
      <c r="F30" s="13"/>
      <c r="G30" s="13"/>
      <c r="H30" s="13"/>
      <c r="I30" s="13"/>
      <c r="J30" s="13"/>
      <c r="K30" s="13"/>
      <c r="L30" s="13"/>
      <c r="M30" s="13"/>
      <c r="N30" s="13"/>
      <c r="O30" s="13"/>
      <c r="P30" s="13"/>
    </row>
    <row r="31" customFormat="false" ht="18" hidden="false" customHeight="true" outlineLevel="0" collapsed="false">
      <c r="A31" s="33" t="s">
        <v>101</v>
      </c>
      <c r="B31" s="33"/>
      <c r="C31" s="33"/>
      <c r="D31" s="33"/>
      <c r="E31" s="34" t="n">
        <f aca="false">B3</f>
        <v>0</v>
      </c>
    </row>
    <row r="32" customFormat="false" ht="18" hidden="false" customHeight="true" outlineLevel="0" collapsed="false">
      <c r="A32" s="35" t="s">
        <v>102</v>
      </c>
      <c r="B32" s="35"/>
      <c r="C32" s="35"/>
      <c r="D32" s="35"/>
      <c r="E32" s="34" t="n">
        <f aca="false">SUM(D13:P13)</f>
        <v>0</v>
      </c>
    </row>
    <row r="33" customFormat="false" ht="18" hidden="false" customHeight="true" outlineLevel="0" collapsed="false">
      <c r="A33" s="33" t="s">
        <v>103</v>
      </c>
      <c r="B33" s="33"/>
      <c r="C33" s="33"/>
      <c r="D33" s="33"/>
      <c r="E33" s="34" t="n">
        <f aca="false">SUM(D24:P24)</f>
        <v>0</v>
      </c>
    </row>
    <row r="34" customFormat="false" ht="18" hidden="false" customHeight="true" outlineLevel="0" collapsed="false">
      <c r="A34" s="35" t="s">
        <v>104</v>
      </c>
      <c r="B34" s="35"/>
      <c r="C34" s="35"/>
      <c r="D34" s="35"/>
      <c r="E34" s="34" t="n">
        <f aca="false">SUM(D26:P26)</f>
        <v>0</v>
      </c>
    </row>
    <row r="35" customFormat="false" ht="18" hidden="false" customHeight="true" outlineLevel="0" collapsed="false">
      <c r="A35" s="33" t="s">
        <v>105</v>
      </c>
      <c r="B35" s="33"/>
      <c r="C35" s="33"/>
      <c r="D35" s="33"/>
      <c r="E35" s="34" t="n">
        <f aca="false">P27</f>
        <v>0</v>
      </c>
    </row>
    <row r="36" customFormat="false" ht="18" hidden="false" customHeight="true" outlineLevel="0" collapsed="false">
      <c r="A36" s="35" t="s">
        <v>106</v>
      </c>
      <c r="B36" s="35"/>
      <c r="C36" s="35"/>
      <c r="D36" s="35"/>
      <c r="E36" s="34" t="n">
        <f aca="false">MIN(D27:P27)</f>
        <v>0</v>
      </c>
    </row>
    <row r="37" customFormat="false" ht="18" hidden="false" customHeight="true" outlineLevel="0" collapsed="false">
      <c r="A37" s="33" t="s">
        <v>107</v>
      </c>
      <c r="B37" s="33"/>
      <c r="C37" s="33"/>
      <c r="D37" s="33"/>
      <c r="E37" s="34" t="n">
        <f aca="false">MAX(D27:P27)</f>
        <v>0</v>
      </c>
    </row>
    <row r="38" customFormat="false" ht="18" hidden="false" customHeight="true" outlineLevel="0" collapsed="false">
      <c r="A38" s="35" t="s">
        <v>108</v>
      </c>
      <c r="B38" s="35"/>
      <c r="C38" s="35"/>
      <c r="D38" s="35"/>
      <c r="E38" s="36" t="n">
        <f aca="false">COUNTIF(D27:P27,"&lt;"&amp;F3)</f>
        <v>13</v>
      </c>
    </row>
    <row r="39" customFormat="false" ht="18" hidden="false" customHeight="true" outlineLevel="0" collapsed="false">
      <c r="A39" s="33" t="s">
        <v>109</v>
      </c>
      <c r="B39" s="33"/>
      <c r="C39" s="33"/>
      <c r="D39" s="33"/>
      <c r="E39" s="34" t="n">
        <f aca="false">SUM(D9:P9)</f>
        <v>0</v>
      </c>
    </row>
    <row r="40" customFormat="false" ht="18" hidden="false" customHeight="true" outlineLevel="0" collapsed="false">
      <c r="A40" s="35" t="s">
        <v>110</v>
      </c>
      <c r="B40" s="35"/>
      <c r="C40" s="35"/>
      <c r="D40" s="35"/>
      <c r="E40" s="34" t="n">
        <f aca="false">SUM(D10:P10)</f>
        <v>0</v>
      </c>
    </row>
    <row r="41" customFormat="false" ht="18" hidden="false" customHeight="true" outlineLevel="0" collapsed="false">
      <c r="A41" s="33" t="s">
        <v>111</v>
      </c>
      <c r="B41" s="33"/>
      <c r="C41" s="33"/>
      <c r="D41" s="33"/>
      <c r="E41" s="34" t="n">
        <f aca="false">SUM(D16:P16)</f>
        <v>0</v>
      </c>
    </row>
    <row r="42" customFormat="false" ht="18" hidden="false" customHeight="true" outlineLevel="0" collapsed="false">
      <c r="A42" s="35" t="s">
        <v>112</v>
      </c>
      <c r="B42" s="35"/>
      <c r="C42" s="35"/>
      <c r="D42" s="35"/>
      <c r="E42" s="34" t="n">
        <f aca="false">SUM(D17:P17)</f>
        <v>0</v>
      </c>
    </row>
    <row r="44" customFormat="false" ht="21.75" hidden="false" customHeight="true" outlineLevel="0" collapsed="false">
      <c r="A44" s="37" t="s">
        <v>46</v>
      </c>
      <c r="B44" s="37"/>
      <c r="C44" s="37"/>
      <c r="D44" s="37"/>
      <c r="E44" s="37"/>
      <c r="F44" s="37"/>
      <c r="G44" s="37"/>
      <c r="H44" s="37"/>
      <c r="I44" s="37"/>
      <c r="J44" s="37"/>
      <c r="K44" s="37"/>
      <c r="L44" s="37"/>
      <c r="M44" s="37"/>
      <c r="N44" s="37"/>
      <c r="O44" s="37"/>
      <c r="P44" s="37"/>
    </row>
  </sheetData>
  <sheetProtection sheet="true" password="df0a"/>
  <mergeCells count="37">
    <mergeCell ref="A1:P1"/>
    <mergeCell ref="G3:P3"/>
    <mergeCell ref="A5:B5"/>
    <mergeCell ref="A6:B6"/>
    <mergeCell ref="A8:P8"/>
    <mergeCell ref="A9:B9"/>
    <mergeCell ref="A10:B10"/>
    <mergeCell ref="A11:B11"/>
    <mergeCell ref="A12:B12"/>
    <mergeCell ref="A13:B13"/>
    <mergeCell ref="A15:P15"/>
    <mergeCell ref="A16:B16"/>
    <mergeCell ref="A17:B17"/>
    <mergeCell ref="A18:B18"/>
    <mergeCell ref="A19:B19"/>
    <mergeCell ref="A20:B20"/>
    <mergeCell ref="A21:B21"/>
    <mergeCell ref="A22:B22"/>
    <mergeCell ref="A23:B23"/>
    <mergeCell ref="A24:B24"/>
    <mergeCell ref="A26:B26"/>
    <mergeCell ref="A27:B27"/>
    <mergeCell ref="A28:P28"/>
    <mergeCell ref="A30:P30"/>
    <mergeCell ref="A31:D31"/>
    <mergeCell ref="A32:D32"/>
    <mergeCell ref="A33:D33"/>
    <mergeCell ref="A34:D34"/>
    <mergeCell ref="A35:D35"/>
    <mergeCell ref="A36:D36"/>
    <mergeCell ref="A37:D37"/>
    <mergeCell ref="A38:D38"/>
    <mergeCell ref="A39:D39"/>
    <mergeCell ref="A40:D40"/>
    <mergeCell ref="A41:D41"/>
    <mergeCell ref="A42:D42"/>
    <mergeCell ref="A44:P44"/>
  </mergeCells>
  <conditionalFormatting sqref="D26">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conditionalFormatting sqref="E26">
    <cfRule type="cellIs" priority="4" operator="lessThan" aboveAverage="0" equalAverage="0" bottom="0" percent="0" rank="0" text="" dxfId="0">
      <formula>0</formula>
    </cfRule>
    <cfRule type="cellIs" priority="5" operator="greaterThan" aboveAverage="0" equalAverage="0" bottom="0" percent="0" rank="0" text="" dxfId="1">
      <formula>0</formula>
    </cfRule>
  </conditionalFormatting>
  <conditionalFormatting sqref="F26">
    <cfRule type="cellIs" priority="6" operator="lessThan" aboveAverage="0" equalAverage="0" bottom="0" percent="0" rank="0" text="" dxfId="0">
      <formula>0</formula>
    </cfRule>
    <cfRule type="cellIs" priority="7" operator="greaterThan" aboveAverage="0" equalAverage="0" bottom="0" percent="0" rank="0" text="" dxfId="1">
      <formula>0</formula>
    </cfRule>
  </conditionalFormatting>
  <conditionalFormatting sqref="G26">
    <cfRule type="cellIs" priority="8" operator="lessThan" aboveAverage="0" equalAverage="0" bottom="0" percent="0" rank="0" text="" dxfId="0">
      <formula>0</formula>
    </cfRule>
    <cfRule type="cellIs" priority="9" operator="greaterThan" aboveAverage="0" equalAverage="0" bottom="0" percent="0" rank="0" text="" dxfId="1">
      <formula>0</formula>
    </cfRule>
  </conditionalFormatting>
  <conditionalFormatting sqref="H26">
    <cfRule type="cellIs" priority="10" operator="lessThan" aboveAverage="0" equalAverage="0" bottom="0" percent="0" rank="0" text="" dxfId="0">
      <formula>0</formula>
    </cfRule>
    <cfRule type="cellIs" priority="11" operator="greaterThan" aboveAverage="0" equalAverage="0" bottom="0" percent="0" rank="0" text="" dxfId="1">
      <formula>0</formula>
    </cfRule>
  </conditionalFormatting>
  <conditionalFormatting sqref="I26">
    <cfRule type="cellIs" priority="12" operator="lessThan" aboveAverage="0" equalAverage="0" bottom="0" percent="0" rank="0" text="" dxfId="0">
      <formula>0</formula>
    </cfRule>
    <cfRule type="cellIs" priority="13" operator="greaterThan" aboveAverage="0" equalAverage="0" bottom="0" percent="0" rank="0" text="" dxfId="1">
      <formula>0</formula>
    </cfRule>
  </conditionalFormatting>
  <conditionalFormatting sqref="J26">
    <cfRule type="cellIs" priority="14" operator="lessThan" aboveAverage="0" equalAverage="0" bottom="0" percent="0" rank="0" text="" dxfId="0">
      <formula>0</formula>
    </cfRule>
    <cfRule type="cellIs" priority="15" operator="greaterThan" aboveAverage="0" equalAverage="0" bottom="0" percent="0" rank="0" text="" dxfId="1">
      <formula>0</formula>
    </cfRule>
  </conditionalFormatting>
  <conditionalFormatting sqref="K26">
    <cfRule type="cellIs" priority="16" operator="lessThan" aboveAverage="0" equalAverage="0" bottom="0" percent="0" rank="0" text="" dxfId="0">
      <formula>0</formula>
    </cfRule>
    <cfRule type="cellIs" priority="17" operator="greaterThan" aboveAverage="0" equalAverage="0" bottom="0" percent="0" rank="0" text="" dxfId="1">
      <formula>0</formula>
    </cfRule>
  </conditionalFormatting>
  <conditionalFormatting sqref="L26">
    <cfRule type="cellIs" priority="18" operator="lessThan" aboveAverage="0" equalAverage="0" bottom="0" percent="0" rank="0" text="" dxfId="0">
      <formula>0</formula>
    </cfRule>
    <cfRule type="cellIs" priority="19" operator="greaterThan" aboveAverage="0" equalAverage="0" bottom="0" percent="0" rank="0" text="" dxfId="1">
      <formula>0</formula>
    </cfRule>
  </conditionalFormatting>
  <conditionalFormatting sqref="M26">
    <cfRule type="cellIs" priority="20" operator="lessThan" aboveAverage="0" equalAverage="0" bottom="0" percent="0" rank="0" text="" dxfId="0">
      <formula>0</formula>
    </cfRule>
    <cfRule type="cellIs" priority="21" operator="greaterThan" aboveAverage="0" equalAverage="0" bottom="0" percent="0" rank="0" text="" dxfId="1">
      <formula>0</formula>
    </cfRule>
  </conditionalFormatting>
  <conditionalFormatting sqref="N26">
    <cfRule type="cellIs" priority="22" operator="lessThan" aboveAverage="0" equalAverage="0" bottom="0" percent="0" rank="0" text="" dxfId="0">
      <formula>0</formula>
    </cfRule>
    <cfRule type="cellIs" priority="23" operator="greaterThan" aboveAverage="0" equalAverage="0" bottom="0" percent="0" rank="0" text="" dxfId="1">
      <formula>0</formula>
    </cfRule>
  </conditionalFormatting>
  <conditionalFormatting sqref="O26">
    <cfRule type="cellIs" priority="24" operator="lessThan" aboveAverage="0" equalAverage="0" bottom="0" percent="0" rank="0" text="" dxfId="0">
      <formula>0</formula>
    </cfRule>
    <cfRule type="cellIs" priority="25" operator="greaterThan" aboveAverage="0" equalAverage="0" bottom="0" percent="0" rank="0" text="" dxfId="1">
      <formula>0</formula>
    </cfRule>
  </conditionalFormatting>
  <conditionalFormatting sqref="P26">
    <cfRule type="cellIs" priority="26" operator="lessThan" aboveAverage="0" equalAverage="0" bottom="0" percent="0" rank="0" text="" dxfId="0">
      <formula>0</formula>
    </cfRule>
    <cfRule type="cellIs" priority="27" operator="greaterThan" aboveAverage="0" equalAverage="0" bottom="0" percent="0" rank="0" text="" dxfId="1">
      <formula>0</formula>
    </cfRule>
  </conditionalFormatting>
  <conditionalFormatting sqref="D27">
    <cfRule type="expression" priority="28" aboveAverage="0" equalAverage="0" bottom="0" percent="0" rank="0" text="" dxfId="0">
      <formula>D27&lt;F3</formula>
    </cfRule>
    <cfRule type="expression" priority="29" aboveAverage="0" equalAverage="0" bottom="0" percent="0" rank="0" text="" dxfId="2">
      <formula>AND(D27&gt;=F3,D27&lt;F3*1.2)</formula>
    </cfRule>
    <cfRule type="expression" priority="30" aboveAverage="0" equalAverage="0" bottom="0" percent="0" rank="0" text="" dxfId="1">
      <formula>D27&gt;=F3*1.2</formula>
    </cfRule>
  </conditionalFormatting>
  <conditionalFormatting sqref="E27">
    <cfRule type="expression" priority="31" aboveAverage="0" equalAverage="0" bottom="0" percent="0" rank="0" text="" dxfId="0">
      <formula>E27&lt;F3</formula>
    </cfRule>
    <cfRule type="expression" priority="32" aboveAverage="0" equalAverage="0" bottom="0" percent="0" rank="0" text="" dxfId="2">
      <formula>AND(E27&gt;=F3,E27&lt;F3*1.2)</formula>
    </cfRule>
    <cfRule type="expression" priority="33" aboveAverage="0" equalAverage="0" bottom="0" percent="0" rank="0" text="" dxfId="1">
      <formula>E27&gt;=F3*1.2</formula>
    </cfRule>
  </conditionalFormatting>
  <conditionalFormatting sqref="F27">
    <cfRule type="expression" priority="34" aboveAverage="0" equalAverage="0" bottom="0" percent="0" rank="0" text="" dxfId="0">
      <formula>F27&lt;F3</formula>
    </cfRule>
    <cfRule type="expression" priority="35" aboveAverage="0" equalAverage="0" bottom="0" percent="0" rank="0" text="" dxfId="2">
      <formula>AND(F27&gt;=F3,F27&lt;F3*1.2)</formula>
    </cfRule>
    <cfRule type="expression" priority="36" aboveAverage="0" equalAverage="0" bottom="0" percent="0" rank="0" text="" dxfId="1">
      <formula>F27&gt;=F3*1.2</formula>
    </cfRule>
  </conditionalFormatting>
  <conditionalFormatting sqref="G27">
    <cfRule type="expression" priority="37" aboveAverage="0" equalAverage="0" bottom="0" percent="0" rank="0" text="" dxfId="0">
      <formula>G27&lt;F3</formula>
    </cfRule>
    <cfRule type="expression" priority="38" aboveAverage="0" equalAverage="0" bottom="0" percent="0" rank="0" text="" dxfId="2">
      <formula>AND(G27&gt;=F3,G27&lt;F3*1.2)</formula>
    </cfRule>
    <cfRule type="expression" priority="39" aboveAverage="0" equalAverage="0" bottom="0" percent="0" rank="0" text="" dxfId="1">
      <formula>G27&gt;=F3*1.2</formula>
    </cfRule>
  </conditionalFormatting>
  <conditionalFormatting sqref="H27">
    <cfRule type="expression" priority="40" aboveAverage="0" equalAverage="0" bottom="0" percent="0" rank="0" text="" dxfId="0">
      <formula>H27&lt;F3</formula>
    </cfRule>
    <cfRule type="expression" priority="41" aboveAverage="0" equalAverage="0" bottom="0" percent="0" rank="0" text="" dxfId="2">
      <formula>AND(H27&gt;=F3,H27&lt;F3*1.2)</formula>
    </cfRule>
    <cfRule type="expression" priority="42" aboveAverage="0" equalAverage="0" bottom="0" percent="0" rank="0" text="" dxfId="1">
      <formula>H27&gt;=F3*1.2</formula>
    </cfRule>
  </conditionalFormatting>
  <conditionalFormatting sqref="I27">
    <cfRule type="expression" priority="43" aboveAverage="0" equalAverage="0" bottom="0" percent="0" rank="0" text="" dxfId="0">
      <formula>I27&lt;F3</formula>
    </cfRule>
    <cfRule type="expression" priority="44" aboveAverage="0" equalAverage="0" bottom="0" percent="0" rank="0" text="" dxfId="2">
      <formula>AND(I27&gt;=F3,I27&lt;F3*1.2)</formula>
    </cfRule>
    <cfRule type="expression" priority="45" aboveAverage="0" equalAverage="0" bottom="0" percent="0" rank="0" text="" dxfId="1">
      <formula>I27&gt;=F3*1.2</formula>
    </cfRule>
  </conditionalFormatting>
  <conditionalFormatting sqref="J27">
    <cfRule type="expression" priority="46" aboveAverage="0" equalAverage="0" bottom="0" percent="0" rank="0" text="" dxfId="0">
      <formula>J27&lt;F3</formula>
    </cfRule>
    <cfRule type="expression" priority="47" aboveAverage="0" equalAverage="0" bottom="0" percent="0" rank="0" text="" dxfId="2">
      <formula>AND(J27&gt;=F3,J27&lt;F3*1.2)</formula>
    </cfRule>
    <cfRule type="expression" priority="48" aboveAverage="0" equalAverage="0" bottom="0" percent="0" rank="0" text="" dxfId="1">
      <formula>J27&gt;=F3*1.2</formula>
    </cfRule>
  </conditionalFormatting>
  <conditionalFormatting sqref="K27">
    <cfRule type="expression" priority="49" aboveAverage="0" equalAverage="0" bottom="0" percent="0" rank="0" text="" dxfId="0">
      <formula>K27&lt;F3</formula>
    </cfRule>
    <cfRule type="expression" priority="50" aboveAverage="0" equalAverage="0" bottom="0" percent="0" rank="0" text="" dxfId="2">
      <formula>AND(K27&gt;=F3,K27&lt;F3*1.2)</formula>
    </cfRule>
    <cfRule type="expression" priority="51" aboveAverage="0" equalAverage="0" bottom="0" percent="0" rank="0" text="" dxfId="1">
      <formula>K27&gt;=F3*1.2</formula>
    </cfRule>
  </conditionalFormatting>
  <conditionalFormatting sqref="L27">
    <cfRule type="expression" priority="52" aboveAverage="0" equalAverage="0" bottom="0" percent="0" rank="0" text="" dxfId="0">
      <formula>L27&lt;F3</formula>
    </cfRule>
    <cfRule type="expression" priority="53" aboveAverage="0" equalAverage="0" bottom="0" percent="0" rank="0" text="" dxfId="2">
      <formula>AND(L27&gt;=F3,L27&lt;F3*1.2)</formula>
    </cfRule>
    <cfRule type="expression" priority="54" aboveAverage="0" equalAverage="0" bottom="0" percent="0" rank="0" text="" dxfId="1">
      <formula>L27&gt;=F3*1.2</formula>
    </cfRule>
  </conditionalFormatting>
  <conditionalFormatting sqref="M27">
    <cfRule type="expression" priority="55" aboveAverage="0" equalAverage="0" bottom="0" percent="0" rank="0" text="" dxfId="0">
      <formula>M27&lt;F3</formula>
    </cfRule>
    <cfRule type="expression" priority="56" aboveAverage="0" equalAverage="0" bottom="0" percent="0" rank="0" text="" dxfId="2">
      <formula>AND(M27&gt;=F3,M27&lt;F3*1.2)</formula>
    </cfRule>
    <cfRule type="expression" priority="57" aboveAverage="0" equalAverage="0" bottom="0" percent="0" rank="0" text="" dxfId="1">
      <formula>M27&gt;=F3*1.2</formula>
    </cfRule>
  </conditionalFormatting>
  <conditionalFormatting sqref="N27">
    <cfRule type="expression" priority="58" aboveAverage="0" equalAverage="0" bottom="0" percent="0" rank="0" text="" dxfId="0">
      <formula>N27&lt;F3</formula>
    </cfRule>
    <cfRule type="expression" priority="59" aboveAverage="0" equalAverage="0" bottom="0" percent="0" rank="0" text="" dxfId="2">
      <formula>AND(N27&gt;=F3,N27&lt;F3*1.2)</formula>
    </cfRule>
    <cfRule type="expression" priority="60" aboveAverage="0" equalAverage="0" bottom="0" percent="0" rank="0" text="" dxfId="1">
      <formula>N27&gt;=F3*1.2</formula>
    </cfRule>
  </conditionalFormatting>
  <conditionalFormatting sqref="O27">
    <cfRule type="expression" priority="61" aboveAverage="0" equalAverage="0" bottom="0" percent="0" rank="0" text="" dxfId="0">
      <formula>O27&lt;F3</formula>
    </cfRule>
    <cfRule type="expression" priority="62" aboveAverage="0" equalAverage="0" bottom="0" percent="0" rank="0" text="" dxfId="2">
      <formula>AND(O27&gt;=F3,O27&lt;F3*1.2)</formula>
    </cfRule>
    <cfRule type="expression" priority="63" aboveAverage="0" equalAverage="0" bottom="0" percent="0" rank="0" text="" dxfId="1">
      <formula>O27&gt;=F3*1.2</formula>
    </cfRule>
  </conditionalFormatting>
  <conditionalFormatting sqref="P27">
    <cfRule type="expression" priority="64" aboveAverage="0" equalAverage="0" bottom="0" percent="0" rank="0" text="" dxfId="0">
      <formula>P27&lt;F3</formula>
    </cfRule>
    <cfRule type="expression" priority="65" aboveAverage="0" equalAverage="0" bottom="0" percent="0" rank="0" text="" dxfId="2">
      <formula>AND(P27&gt;=F3,P27&lt;F3*1.2)</formula>
    </cfRule>
    <cfRule type="expression" priority="66" aboveAverage="0" equalAverage="0" bottom="0" percent="0" rank="0" text="" dxfId="1">
      <formula>P27&gt;=F3*1.2</formula>
    </cfRule>
  </conditionalFormatting>
  <conditionalFormatting sqref="E36">
    <cfRule type="cellIs" priority="67" operator="lessThan" aboveAverage="0" equalAverage="0" bottom="0" percent="0" rank="0" text="" dxfId="0">
      <formula>0</formula>
    </cfRule>
  </conditionalFormatting>
  <conditionalFormatting sqref="E38">
    <cfRule type="cellIs" priority="68" operator="greaterThan" aboveAverage="0" equalAverage="0" bottom="0" percent="0" rank="0" text="" dxfId="0">
      <formula>0</formula>
    </cfRule>
    <cfRule type="cellIs" priority="69"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62"/>
  </cols>
  <sheetData>
    <row r="1" customFormat="false" ht="36" hidden="false" customHeight="true" outlineLevel="0" collapsed="false">
      <c r="A1" s="1" t="s">
        <v>117</v>
      </c>
      <c r="B1" s="1"/>
      <c r="C1" s="1"/>
    </row>
    <row r="3" customFormat="false" ht="54.75" hidden="false" customHeight="true" outlineLevel="0" collapsed="false">
      <c r="A3" s="51" t="s">
        <v>118</v>
      </c>
      <c r="B3" s="51"/>
      <c r="C3" s="51"/>
    </row>
    <row r="5" customFormat="false" ht="24" hidden="false" customHeight="true" outlineLevel="0" collapsed="false">
      <c r="A5" s="52" t="s">
        <v>119</v>
      </c>
      <c r="B5" s="52"/>
      <c r="C5" s="52"/>
    </row>
    <row r="6" customFormat="false" ht="49.5" hidden="false" customHeight="true" outlineLevel="0" collapsed="false">
      <c r="B6" s="53" t="s">
        <v>120</v>
      </c>
      <c r="C6" s="54" t="s">
        <v>121</v>
      </c>
    </row>
    <row r="7" customFormat="false" ht="49.5" hidden="false" customHeight="true" outlineLevel="0" collapsed="false">
      <c r="B7" s="53" t="s">
        <v>122</v>
      </c>
      <c r="C7" s="54" t="s">
        <v>123</v>
      </c>
    </row>
    <row r="8" customFormat="false" ht="49.5" hidden="false" customHeight="true" outlineLevel="0" collapsed="false">
      <c r="B8" s="53" t="s">
        <v>124</v>
      </c>
      <c r="C8" s="54" t="s">
        <v>125</v>
      </c>
    </row>
    <row r="10" customFormat="false" ht="24" hidden="false" customHeight="true" outlineLevel="0" collapsed="false">
      <c r="A10" s="55" t="s">
        <v>126</v>
      </c>
      <c r="B10" s="55"/>
      <c r="C10" s="55"/>
    </row>
    <row r="11" customFormat="false" ht="49.5" hidden="false" customHeight="true" outlineLevel="0" collapsed="false">
      <c r="B11" s="53" t="s">
        <v>127</v>
      </c>
      <c r="C11" s="54" t="s">
        <v>128</v>
      </c>
    </row>
    <row r="13" customFormat="false" ht="24" hidden="false" customHeight="true" outlineLevel="0" collapsed="false">
      <c r="A13" s="52" t="s">
        <v>129</v>
      </c>
      <c r="B13" s="52"/>
      <c r="C13" s="52"/>
    </row>
    <row r="14" customFormat="false" ht="49.5" hidden="false" customHeight="true" outlineLevel="0" collapsed="false">
      <c r="B14" s="53" t="s">
        <v>130</v>
      </c>
      <c r="C14" s="54" t="s">
        <v>131</v>
      </c>
    </row>
    <row r="15" customFormat="false" ht="49.5" hidden="false" customHeight="true" outlineLevel="0" collapsed="false">
      <c r="B15" s="53" t="s">
        <v>132</v>
      </c>
      <c r="C15" s="54" t="s">
        <v>133</v>
      </c>
    </row>
    <row r="17" customFormat="false" ht="24" hidden="false" customHeight="true" outlineLevel="0" collapsed="false">
      <c r="A17" s="56" t="s">
        <v>134</v>
      </c>
      <c r="B17" s="56"/>
      <c r="C17" s="56"/>
    </row>
    <row r="18" customFormat="false" ht="49.5" hidden="false" customHeight="true" outlineLevel="0" collapsed="false">
      <c r="B18" s="53" t="s">
        <v>135</v>
      </c>
      <c r="C18" s="54" t="s">
        <v>136</v>
      </c>
    </row>
    <row r="19" customFormat="false" ht="49.5" hidden="false" customHeight="true" outlineLevel="0" collapsed="false">
      <c r="B19" s="53" t="s">
        <v>137</v>
      </c>
      <c r="C19" s="54" t="s">
        <v>138</v>
      </c>
    </row>
    <row r="20" customFormat="false" ht="49.5" hidden="false" customHeight="true" outlineLevel="0" collapsed="false">
      <c r="B20" s="53" t="s">
        <v>139</v>
      </c>
      <c r="C20" s="54" t="s">
        <v>140</v>
      </c>
    </row>
    <row r="22" customFormat="false" ht="24" hidden="false" customHeight="true" outlineLevel="0" collapsed="false">
      <c r="A22" s="52" t="s">
        <v>141</v>
      </c>
      <c r="B22" s="52"/>
      <c r="C22" s="52"/>
    </row>
    <row r="23" customFormat="false" ht="49.5" hidden="false" customHeight="true" outlineLevel="0" collapsed="false">
      <c r="B23" s="53" t="s">
        <v>142</v>
      </c>
      <c r="C23" s="54" t="s">
        <v>143</v>
      </c>
    </row>
    <row r="24" customFormat="false" ht="49.5" hidden="false" customHeight="true" outlineLevel="0" collapsed="false">
      <c r="B24" s="53" t="s">
        <v>144</v>
      </c>
      <c r="C24" s="54" t="s">
        <v>145</v>
      </c>
    </row>
    <row r="26" customFormat="false" ht="24" hidden="false" customHeight="true" outlineLevel="0" collapsed="false">
      <c r="A26" s="57" t="s">
        <v>146</v>
      </c>
      <c r="B26" s="57"/>
      <c r="C26" s="57"/>
    </row>
    <row r="27" customFormat="false" ht="49.5" hidden="false" customHeight="true" outlineLevel="0" collapsed="false">
      <c r="B27" s="53" t="s">
        <v>147</v>
      </c>
      <c r="C27" s="54" t="s">
        <v>148</v>
      </c>
    </row>
    <row r="28" customFormat="false" ht="49.5" hidden="false" customHeight="true" outlineLevel="0" collapsed="false">
      <c r="B28" s="53" t="s">
        <v>149</v>
      </c>
      <c r="C28" s="54" t="s">
        <v>150</v>
      </c>
    </row>
    <row r="29" customFormat="false" ht="49.5" hidden="false" customHeight="true" outlineLevel="0" collapsed="false">
      <c r="B29" s="53" t="s">
        <v>151</v>
      </c>
      <c r="C29" s="54" t="s">
        <v>152</v>
      </c>
    </row>
    <row r="31" customFormat="false" ht="24" hidden="false" customHeight="true" outlineLevel="0" collapsed="false">
      <c r="A31" s="55" t="s">
        <v>153</v>
      </c>
      <c r="B31" s="55"/>
      <c r="C31" s="55"/>
    </row>
    <row r="32" customFormat="false" ht="49.5" hidden="false" customHeight="true" outlineLevel="0" collapsed="false">
      <c r="B32" s="53" t="s">
        <v>154</v>
      </c>
      <c r="C32" s="54" t="s">
        <v>155</v>
      </c>
    </row>
    <row r="33" customFormat="false" ht="49.5" hidden="false" customHeight="true" outlineLevel="0" collapsed="false">
      <c r="B33" s="53" t="s">
        <v>156</v>
      </c>
      <c r="C33" s="54" t="s">
        <v>157</v>
      </c>
    </row>
    <row r="34" customFormat="false" ht="49.5" hidden="false" customHeight="true" outlineLevel="0" collapsed="false">
      <c r="B34" s="53" t="s">
        <v>158</v>
      </c>
      <c r="C34" s="54" t="s">
        <v>159</v>
      </c>
    </row>
    <row r="35" customFormat="false" ht="49.5" hidden="false" customHeight="true" outlineLevel="0" collapsed="false">
      <c r="B35" s="53" t="s">
        <v>160</v>
      </c>
      <c r="C35" s="54" t="s">
        <v>161</v>
      </c>
    </row>
    <row r="36" customFormat="false" ht="49.5" hidden="false" customHeight="true" outlineLevel="0" collapsed="false">
      <c r="B36" s="53" t="s">
        <v>162</v>
      </c>
      <c r="C36" s="54" t="s">
        <v>163</v>
      </c>
    </row>
    <row r="37" customFormat="false" ht="49.5" hidden="false" customHeight="true" outlineLevel="0" collapsed="false">
      <c r="B37" s="53" t="s">
        <v>164</v>
      </c>
      <c r="C37" s="54" t="s">
        <v>165</v>
      </c>
    </row>
    <row r="39" customFormat="false" ht="21.75" hidden="false" customHeight="true" outlineLevel="0" collapsed="false">
      <c r="A39" s="37" t="s">
        <v>46</v>
      </c>
      <c r="B39" s="37"/>
      <c r="C39" s="37"/>
    </row>
  </sheetData>
  <sheetProtection sheet="true" password="df0a"/>
  <mergeCells count="10">
    <mergeCell ref="A1:C1"/>
    <mergeCell ref="A3:C3"/>
    <mergeCell ref="A5:C5"/>
    <mergeCell ref="A10:C10"/>
    <mergeCell ref="A13:C13"/>
    <mergeCell ref="A17:C17"/>
    <mergeCell ref="A22:C22"/>
    <mergeCell ref="A26:C26"/>
    <mergeCell ref="A31:C31"/>
    <mergeCell ref="A39:C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2026-03-30T19:53:50Z</dcterms:created>
  <dc:creator>openpyxl</dc:creator>
  <dc:description/>
  <dc:language>en-US</dc:language>
  <cp:lastModifiedBy/>
  <dcterms:modified xsi:type="dcterms:W3CDTF">2026-03-30T19:53:51Z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