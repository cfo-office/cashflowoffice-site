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Sub &amp; Vendor Master" sheetId="1" state="visible" r:id="rId3"/>
    <sheet name="💰 Payment Terms &amp; History" sheetId="2" state="visible" r:id="rId4"/>
    <sheet name="📄 Lien Waiver Log" sheetId="3" state="visible" r:id="rId5"/>
    <sheet name="⭐ Performance Scorecard" sheetId="4" state="visible" r:id="rId6"/>
    <sheet name="🛡️ Insurance &amp; Compliance" sheetId="5" state="visible" r:id="rId7"/>
    <sheet name="📋 Instruc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<sst xmlns="http://schemas.openxmlformats.org/spreadsheetml/2006/main" count="213" uniqueCount="181">
  <si>
    <t xml:space="preserve">CASH FLOW OFFICE  |  Subcontractor &amp; Vendor Manager — Master Roster</t>
  </si>
  <si>
    <t xml:space="preserve">Company:</t>
  </si>
  <si>
    <t xml:space="preserve">Owner / PM:</t>
  </si>
  <si>
    <t xml:space="preserve">Report Date:</t>
  </si>
  <si>
    <t xml:space="preserve">Total Roster</t>
  </si>
  <si>
    <t xml:space="preserve">Active Subs</t>
  </si>
  <si>
    <t xml:space="preserve">Active Vendors</t>
  </si>
  <si>
    <t xml:space="preserve">Inactive</t>
  </si>
  <si>
    <t xml:space="preserve">Avg Rating</t>
  </si>
  <si>
    <t xml:space="preserve">ID</t>
  </si>
  <si>
    <t xml:space="preserve">COMPANY INFO</t>
  </si>
  <si>
    <t xml:space="preserve">CONTACT</t>
  </si>
  <si>
    <t xml:space="preserve">LICENSING</t>
  </si>
  <si>
    <t xml:space="preserve">PROFILE</t>
  </si>
  <si>
    <t xml:space="preserve">STATUS</t>
  </si>
  <si>
    <t xml:space="preserve">PREFERRED JOBS</t>
  </si>
  <si>
    <t xml:space="preserve">NOTES</t>
  </si>
  <si>
    <t xml:space="preserve">#</t>
  </si>
  <si>
    <t xml:space="preserve">Company Name</t>
  </si>
  <si>
    <t xml:space="preserve">Type
(Sub/Vendor)</t>
  </si>
  <si>
    <t xml:space="preserve">Trade /
Category</t>
  </si>
  <si>
    <t xml:space="preserve">Contact
Name</t>
  </si>
  <si>
    <t xml:space="preserve">Phone</t>
  </si>
  <si>
    <t xml:space="preserve">Email</t>
  </si>
  <si>
    <t xml:space="preserve">License #</t>
  </si>
  <si>
    <t xml:space="preserve">License
State</t>
  </si>
  <si>
    <t xml:space="preserve">Business
Type</t>
  </si>
  <si>
    <t xml:space="preserve">Years in
Business</t>
  </si>
  <si>
    <t xml:space="preserve">Rating
(1–5 ★)</t>
  </si>
  <si>
    <t xml:space="preserve">Preferred
Pay Method</t>
  </si>
  <si>
    <t xml:space="preserve">Active
Status</t>
  </si>
  <si>
    <t xml:space="preserve">Preferred
Job Types</t>
  </si>
  <si>
    <t xml:space="preserve">Notes /
Comments</t>
  </si>
  <si>
    <t xml:space="preserve">  Roster capacity: 100 rows  |  Add rows above row 108 to expand</t>
  </si>
  <si>
    <t xml:space="preserve">Cash Flow Office  |  cfo@cashflowoffice.com  |  cashflowoffice.com  |  © 2026 Darlene Martin  |  Unprotect password: CFO2026</t>
  </si>
  <si>
    <t xml:space="preserve">CASH FLOW OFFICE  |  Sub &amp; Vendor Manager — Payment Terms &amp; History</t>
  </si>
  <si>
    <t xml:space="preserve">Total Open Balances ▶</t>
  </si>
  <si>
    <t xml:space="preserve">Today (auto):</t>
  </si>
  <si>
    <t xml:space="preserve">VENDOR INFO</t>
  </si>
  <si>
    <t xml:space="preserve">PAYMENT TERMS</t>
  </si>
  <si>
    <t xml:space="preserve">DEPOSIT POLICY</t>
  </si>
  <si>
    <t xml:space="preserve">PAYMENT HISTORY</t>
  </si>
  <si>
    <t xml:space="preserve">DATES</t>
  </si>
  <si>
    <t xml:space="preserve">ON-TIME %</t>
  </si>
  <si>
    <t xml:space="preserve">Type</t>
  </si>
  <si>
    <t xml:space="preserve">Payment Terms</t>
  </si>
  <si>
    <t xml:space="preserve">Net Days</t>
  </si>
  <si>
    <t xml:space="preserve">Early Pay
Discount %</t>
  </si>
  <si>
    <t xml:space="preserve">Discount
Condition</t>
  </si>
  <si>
    <t xml:space="preserve">Deposit
Required?</t>
  </si>
  <si>
    <t xml:space="preserve">Deposit %</t>
  </si>
  <si>
    <t xml:space="preserve">Deposit $
Typical</t>
  </si>
  <si>
    <t xml:space="preserve">Total Contracted
YTD</t>
  </si>
  <si>
    <t xml:space="preserve">Total Paid
YTD</t>
  </si>
  <si>
    <t xml:space="preserve">Open
Balance</t>
  </si>
  <si>
    <t xml:space="preserve">Avg Days
to Pay</t>
  </si>
  <si>
    <t xml:space="preserve">Last Invoice
Date</t>
  </si>
  <si>
    <t xml:space="preserve">Last Payment
Date</t>
  </si>
  <si>
    <t xml:space="preserve">Days Since
Last Paid ▶</t>
  </si>
  <si>
    <t xml:space="preserve">On-Time
Pay % ▶</t>
  </si>
  <si>
    <t xml:space="preserve">Notes</t>
  </si>
  <si>
    <t xml:space="preserve">TOTALS</t>
  </si>
  <si>
    <t xml:space="preserve">CASH FLOW OFFICE  |  Sub &amp; Vendor Manager — Lien Waiver Log</t>
  </si>
  <si>
    <t xml:space="preserve">Waivers Received</t>
  </si>
  <si>
    <t xml:space="preserve">Pending</t>
  </si>
  <si>
    <t xml:space="preserve">Missing / Overdue</t>
  </si>
  <si>
    <t xml:space="preserve">Total $ Covered</t>
  </si>
  <si>
    <t xml:space="preserve">⚠ LEGAL NOTE: A missing lien waiver means the sub/vendor still has the RIGHT to file a mechanics lien against your property — even after you've paid them. Track every waiver. Never release final payment without a signed unconditional lien waiver.</t>
  </si>
  <si>
    <t xml:space="preserve">JOB &amp; VENDOR</t>
  </si>
  <si>
    <t xml:space="preserve">WAIVER DETAIL</t>
  </si>
  <si>
    <t xml:space="preserve">TIMING</t>
  </si>
  <si>
    <t xml:space="preserve">STATUS &amp; TYPE</t>
  </si>
  <si>
    <t xml:space="preserve">FILING</t>
  </si>
  <si>
    <t xml:space="preserve">Vendor /
Sub Name</t>
  </si>
  <si>
    <t xml:space="preserve">Job /
Project</t>
  </si>
  <si>
    <t xml:space="preserve">Job #</t>
  </si>
  <si>
    <t xml:space="preserve">Waiver
Type</t>
  </si>
  <si>
    <t xml:space="preserve">Amount
Covered</t>
  </si>
  <si>
    <t xml:space="preserve">Period
From</t>
  </si>
  <si>
    <t xml:space="preserve">Period
To</t>
  </si>
  <si>
    <t xml:space="preserve">Date
Requested</t>
  </si>
  <si>
    <t xml:space="preserve">Date
Received</t>
  </si>
  <si>
    <t xml:space="preserve">Days to
Receive ▶</t>
  </si>
  <si>
    <t xml:space="preserve">Status</t>
  </si>
  <si>
    <t xml:space="preserve">Conditional /
Unconditional</t>
  </si>
  <si>
    <t xml:space="preserve">Notarized?</t>
  </si>
  <si>
    <t xml:space="preserve">Filed With
Title Co?</t>
  </si>
  <si>
    <t xml:space="preserve">CASH FLOW OFFICE  |  Sub &amp; Vendor Manager — Performance Scorecard</t>
  </si>
  <si>
    <t xml:space="preserve">RATING SCALE: 1 = Poor  |  2 = Below Average  |  3 = Acceptable  |  4 = Good  |  5 = Excellent  |  Composite Score = weighted average. Use this tab before re-hiring any sub on a new job.</t>
  </si>
  <si>
    <t xml:space="preserve">Rating Weights  →</t>
  </si>
  <si>
    <t xml:space="preserve">Quality: 30%</t>
  </si>
  <si>
    <t xml:space="preserve">Schedule: 25%</t>
  </si>
  <si>
    <t xml:space="preserve">Comms: 20%</t>
  </si>
  <si>
    <t xml:space="preserve">Pricing: 15%</t>
  </si>
  <si>
    <t xml:space="preserve">Safety: 10%</t>
  </si>
  <si>
    <t xml:space="preserve">COMPANY</t>
  </si>
  <si>
    <t xml:space="preserve">PERFORMANCE RATINGS (1–5)</t>
  </si>
  <si>
    <t xml:space="preserve">COMPOSITE
SCORE ▶</t>
  </si>
  <si>
    <t xml:space="preserve">HIRE
AGAIN?</t>
  </si>
  <si>
    <t xml:space="preserve">LAST JOB
WORKED</t>
  </si>
  <si>
    <t xml:space="preserve">INCIDENTS /
ISSUES</t>
  </si>
  <si>
    <t xml:space="preserve">Trade</t>
  </si>
  <si>
    <t xml:space="preserve">Quality
(30%)</t>
  </si>
  <si>
    <t xml:space="preserve">Schedule
(25%)</t>
  </si>
  <si>
    <t xml:space="preserve">Communication
(20%)</t>
  </si>
  <si>
    <t xml:space="preserve">Pricing /
Value (15%)</t>
  </si>
  <si>
    <t xml:space="preserve">Safety
(10%)</t>
  </si>
  <si>
    <t xml:space="preserve">Composite
Score ▶</t>
  </si>
  <si>
    <t xml:space="preserve">Hire
Again?</t>
  </si>
  <si>
    <t xml:space="preserve">Last Job
Worked</t>
  </si>
  <si>
    <t xml:space="preserve"># Incidents /
Issues</t>
  </si>
  <si>
    <t xml:space="preserve">Notes /
Recommendation</t>
  </si>
  <si>
    <t xml:space="preserve">CASH FLOW OFFICE  |  Sub &amp; Vendor Manager — Insurance &amp; Compliance</t>
  </si>
  <si>
    <t xml:space="preserve">COI Current</t>
  </si>
  <si>
    <t xml:space="preserve">Expiring (30 days)</t>
  </si>
  <si>
    <t xml:space="preserve">Expired</t>
  </si>
  <si>
    <t xml:space="preserve">W-9 Missing</t>
  </si>
  <si>
    <t xml:space="preserve">⚠ Never allow a sub to work on your jobsite with an expired COI. If their insurance lapses, YOU may be liable for any incidents on the job.</t>
  </si>
  <si>
    <t xml:space="preserve">INSURANCE / COI</t>
  </si>
  <si>
    <t xml:space="preserve">COI STATUS</t>
  </si>
  <si>
    <t xml:space="preserve">WORKERS COMP</t>
  </si>
  <si>
    <t xml:space="preserve">W-9 / TAX</t>
  </si>
  <si>
    <t xml:space="preserve">Insurer</t>
  </si>
  <si>
    <t xml:space="preserve">Policy #</t>
  </si>
  <si>
    <t xml:space="preserve">GL Coverage $</t>
  </si>
  <si>
    <t xml:space="preserve">COI Expiry
Date</t>
  </si>
  <si>
    <t xml:space="preserve">COI
Status</t>
  </si>
  <si>
    <t xml:space="preserve">Days Until
Expiry ▶</t>
  </si>
  <si>
    <t xml:space="preserve">WC Policy #</t>
  </si>
  <si>
    <t xml:space="preserve">WC Expiry</t>
  </si>
  <si>
    <t xml:space="preserve">W-9 on
File?</t>
  </si>
  <si>
    <t xml:space="preserve">W-9
Status</t>
  </si>
  <si>
    <t xml:space="preserve">CASH FLOW OFFICE  |  Sub &amp; Vendor Manager — How to Use This Workbook</t>
  </si>
  <si>
    <t xml:space="preserve">This workbook is your complete subcontractor and vendor management system.
It connects 5 tabs into one operating picture:
  📋 Master Roster → 💰 Payment Terms → 📄 Lien Waiver Log → ⭐ Scorecard → 🛡️ Insurance
Use this BEFORE you hire a sub: check their score, compliance, and payment history.
Use this DURING a job: track lien waivers and insurance status in real time.
Use this AFTER a job: update their scorecard so you remember for next time.</t>
  </si>
  <si>
    <t xml:space="preserve">📋 TAB 1 — SUB &amp; VENDOR MASTER  (Your complete roster)</t>
  </si>
  <si>
    <t xml:space="preserve">Add every sub and vendor</t>
  </si>
  <si>
    <t xml:space="preserve">One row per company. Fill in contact info, trade, license, business type, rating, and active status. This is your master reference — everything else links back here.</t>
  </si>
  <si>
    <t xml:space="preserve">Active Status dropdown</t>
  </si>
  <si>
    <t xml:space="preserve">Active = currently using. Inactive = not using but keep the record. Do Not Use = flagged — includes a notes field to explain why. Pending Approval = new sub being vetted.</t>
  </si>
  <si>
    <t xml:space="preserve">Rating (1–5)</t>
  </si>
  <si>
    <t xml:space="preserve">Your overall gut rating. Green ≥ 4, yellow = 3, red ≤ 2. Use the Scorecard tab for the detailed breakdown — the Master just shows your headline number.</t>
  </si>
  <si>
    <t xml:space="preserve">💰 TAB 2 — PAYMENT TERMS &amp; HISTORY</t>
  </si>
  <si>
    <t xml:space="preserve">Enter the agreed payment terms (Net 30, Pay-When-Paid, etc.). Net Days drives how you plan cash — a Net 10 sub has very different pressure than a Net 45 vendor.</t>
  </si>
  <si>
    <t xml:space="preserve">Open Balance ▶</t>
  </si>
  <si>
    <t xml:space="preserve">Auto-calculates from Total Contracted minus Total Paid. Any positive number here means money still owed to this vendor. Sort by this column to see your largest obligations.</t>
  </si>
  <si>
    <t xml:space="preserve">On-Time Pay %</t>
  </si>
  <si>
    <t xml:space="preserve">Track your own payment reliability per vendor. Green ≥ 90%, yellow 70–90%, red &lt; 70%. Your best subs will prioritize contractors who pay on time — this is a relationship management metric.</t>
  </si>
  <si>
    <t xml:space="preserve">📄 TAB 3 — LIEN WAIVER LOG  (Your legal protection)</t>
  </si>
  <si>
    <t xml:space="preserve">Log every waiver</t>
  </si>
  <si>
    <t xml:space="preserve">One row per waiver event — not per vendor. A single vendor may have 5+ rows (one per draw or milestone). Progress waivers for each payment, then a Final unconditional waiver at job close.</t>
  </si>
  <si>
    <t xml:space="preserve">Status = Missing</t>
  </si>
  <si>
    <t xml:space="preserve">If a waiver is Missing, the entire row highlights red. This means someone has legal rights against your property. Do not ignore a Missing status — it can result in a mechanics lien filing.</t>
  </si>
  <si>
    <t xml:space="preserve">Conditional vs Unconditional</t>
  </si>
  <si>
    <t xml:space="preserve">Conditional = waiver is valid ONLY if your check clears. Unconditional = permanent waiver regardless of payment. Always get an unconditional waiver with final payment. Never sign off on job completion without it.</t>
  </si>
  <si>
    <t xml:space="preserve">⭐ TAB 4 — PERFORMANCE SCORECARD</t>
  </si>
  <si>
    <t xml:space="preserve">Rate after every job</t>
  </si>
  <si>
    <t xml:space="preserve">Quality (30%), Schedule (25%), Communication (20%), Pricing (15%), Safety (10%). Takes 3 minutes. Composite score auto-calculates and color codes green/yellow/red.</t>
  </si>
  <si>
    <t xml:space="preserve">Use before re-hiring</t>
  </si>
  <si>
    <t xml:space="preserve">Before putting a sub on a new job, check their composite score and 'Hire Again?' column. A 2.8 on Schedule means they'll likely be late on your next job too.</t>
  </si>
  <si>
    <t xml:space="preserve">Incidents / Issues column</t>
  </si>
  <si>
    <t xml:space="preserve">Log ANY incident — quality callbacks, OSHA issues, no-shows, disputes. Even 1 incident should be documented. This protects you legally and operationally.</t>
  </si>
  <si>
    <t xml:space="preserve">🛡️ TAB 5 — INSURANCE &amp; COMPLIANCE</t>
  </si>
  <si>
    <t xml:space="preserve">COI = Certificate of Insurance</t>
  </si>
  <si>
    <t xml:space="preserve">Every sub must provide a current COI before stepping on your jobsite. The Days Until Expiry column auto-calculates — green &gt; 30 days, orange 0–30 days, red = expired.</t>
  </si>
  <si>
    <t xml:space="preserve">W-9 on File</t>
  </si>
  <si>
    <t xml:space="preserve">You need a W-9 for every sub/vendor you pay $600+ in a calendar year (for 1099 filing). The W-9 Status column tracks whether you have it. Missing = potential tax compliance issue.</t>
  </si>
  <si>
    <t xml:space="preserve">Expiring Soon summary</t>
  </si>
  <si>
    <t xml:space="preserve">The top of the tab shows a count of COIs expiring in 30 days. Check this every Monday. An expired COI means you cannot legally allow that sub to work until it's renewed.</t>
  </si>
  <si>
    <t xml:space="preserve">COLOR &amp; PROTECTION GUIDE</t>
  </si>
  <si>
    <t xml:space="preserve">🟡 Yellow</t>
  </si>
  <si>
    <t xml:space="preserve">Input cells — enter data here. Always unlocked.</t>
  </si>
  <si>
    <t xml:space="preserve">🔵 Blue ▶</t>
  </si>
  <si>
    <t xml:space="preserve">Formula cells — auto-calculated. Locked.</t>
  </si>
  <si>
    <t xml:space="preserve">🔴 Red</t>
  </si>
  <si>
    <t xml:space="preserve">Expired, missing, Do Not Use, overdue. Needs immediate attention.</t>
  </si>
  <si>
    <t xml:space="preserve">🟠 Orange</t>
  </si>
  <si>
    <t xml:space="preserve">Warning — expiring soon, 45+ days unpaid, below average.</t>
  </si>
  <si>
    <t xml:space="preserve">🟢 Green</t>
  </si>
  <si>
    <t xml:space="preserve">Healthy, current, highly rated.</t>
  </si>
  <si>
    <t xml:space="preserve">Password</t>
  </si>
  <si>
    <t xml:space="preserve">Review → Unprotect Sheet → CFO2026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</si>
</sst>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.0"/>
    <numFmt numFmtId="167" formatCode="\$#,##0;&quot;($&quot;#,##0\);\-"/>
    <numFmt numFmtId="168" formatCode="mmm\ dd&quot;, &quot;yyyy"/>
    <numFmt numFmtId="169" formatCode="0.0%"/>
    <numFmt numFmtId="170" formatCode="0%"/>
    <numFmt numFmtId="171" formatCode="mm/dd/yyyy"/>
    <numFmt numFmtId="172" formatCode="0;\(0\)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1F2D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66573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1F2D3D"/>
      <name val="Arial"/>
      <family val="0"/>
      <charset val="1"/>
    </font>
    <font>
      <i val="true"/>
      <sz val="11"/>
      <color rgb="FF1F2D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2D3D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2E5F8A"/>
        <bgColor rgb="FF566573"/>
      </patternFill>
    </fill>
    <fill>
      <patternFill patternType="solid">
        <fgColor rgb="FFFFF9C4"/>
        <bgColor rgb="FFFCF3CF"/>
      </patternFill>
    </fill>
    <fill>
      <patternFill patternType="solid">
        <fgColor rgb="FFD6E4F0"/>
        <bgColor rgb="FFD0ECE7"/>
      </patternFill>
    </fill>
    <fill>
      <patternFill patternType="solid">
        <fgColor rgb="FFD5F5E3"/>
        <bgColor rgb="FFD0ECE7"/>
      </patternFill>
    </fill>
    <fill>
      <patternFill patternType="solid">
        <fgColor rgb="FFFADBD8"/>
        <bgColor rgb="FFFDEBD0"/>
      </patternFill>
    </fill>
    <fill>
      <patternFill patternType="solid">
        <fgColor rgb="FFFCF3CF"/>
        <bgColor rgb="FFFFF9C4"/>
      </patternFill>
    </fill>
    <fill>
      <patternFill patternType="solid">
        <fgColor rgb="FF566573"/>
        <bgColor rgb="FF2E5F8A"/>
      </patternFill>
    </fill>
    <fill>
      <patternFill patternType="solid">
        <fgColor rgb="FF1A6B3C"/>
        <bgColor rgb="FF0E6655"/>
      </patternFill>
    </fill>
    <fill>
      <patternFill patternType="solid">
        <fgColor rgb="FFF2F3F4"/>
        <bgColor rgb="FFFFFFFF"/>
      </patternFill>
    </fill>
    <fill>
      <patternFill patternType="solid">
        <fgColor rgb="FFFFFFFF"/>
        <bgColor rgb="FFF2F3F4"/>
      </patternFill>
    </fill>
    <fill>
      <patternFill patternType="solid">
        <fgColor rgb="FFFDEBD0"/>
        <bgColor rgb="FFFCF3CF"/>
      </patternFill>
    </fill>
    <fill>
      <patternFill patternType="solid">
        <fgColor rgb="FF0E6655"/>
        <bgColor rgb="FF1A6B3C"/>
      </patternFill>
    </fill>
    <fill>
      <patternFill patternType="solid">
        <fgColor rgb="FFD0ECE7"/>
        <bgColor rgb="FFD5F5E3"/>
      </patternFill>
    </fill>
    <fill>
      <patternFill patternType="solid">
        <fgColor rgb="FFE74C3C"/>
        <bgColor rgb="FFC0392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/>
      <top style="thin">
        <color rgb="FFBFC9CA"/>
      </top>
      <bottom style="thin">
        <color rgb="FFBFC9CA"/>
      </bottom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1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" fillId="11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6" fillId="12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6" fillId="1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1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5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A6B3C"/>
        <sz val="10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566573"/>
        <sz val="10"/>
      </font>
      <fill>
        <patternFill>
          <bgColor rgb="FFF2F3F4"/>
        </patternFill>
      </fill>
    </dxf>
    <dxf>
      <font>
        <name val="Arial"/>
        <charset val="1"/>
        <family val="0"/>
        <b val="1"/>
        <color rgb="FFC0392B"/>
        <sz val="10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7D6608"/>
        <sz val="10"/>
      </font>
      <fill>
        <patternFill>
          <bgColor rgb="FFFFF9C4"/>
        </patternFill>
      </fill>
    </dxf>
    <dxf>
      <font>
        <name val="Arial"/>
        <charset val="1"/>
        <family val="0"/>
        <b val="1"/>
        <color rgb="FFE67E22"/>
        <sz val="10"/>
      </font>
      <fill>
        <patternFill>
          <bgColor rgb="FFFDEBD0"/>
        </patternFill>
      </fill>
    </dxf>
    <dxf>
      <fill>
        <patternFill>
          <bgColor rgb="FFFADB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D6608"/>
      <rgbColor rgb="FF800080"/>
      <rgbColor rgb="FF0E6655"/>
      <rgbColor rgb="FFBFC9CA"/>
      <rgbColor rgb="FF808080"/>
      <rgbColor rgb="FF9999FF"/>
      <rgbColor rgb="FF993366"/>
      <rgbColor rgb="FFFFF9C4"/>
      <rgbColor rgb="FFD0ECE7"/>
      <rgbColor rgb="FF660066"/>
      <rgbColor rgb="FFE74C3C"/>
      <rgbColor rgb="FF2E5F8A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CF3CF"/>
      <rgbColor rgb="FFFDEBD0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E67E22"/>
      <rgbColor rgb="FF566573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2" min="11" style="0" width="10"/>
    <col collapsed="false" customWidth="true" hidden="false" outlineLevel="0" max="14" min="13" style="0" width="14"/>
    <col collapsed="false" customWidth="true" hidden="false" outlineLevel="0" max="15" min="15" style="0" width="22"/>
    <col collapsed="false" customWidth="true" hidden="false" outlineLevel="0" max="16" min="16" style="0" width="2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3"/>
      <c r="D2" s="2" t="s">
        <v>2</v>
      </c>
      <c r="E2" s="3"/>
      <c r="H2" s="2" t="s">
        <v>3</v>
      </c>
      <c r="I2" s="3"/>
    </row>
    <row r="3" customFormat="false" ht="21.75" hidden="false" customHeight="true" outlineLevel="0" collapsed="false">
      <c r="A3" s="4" t="s">
        <v>4</v>
      </c>
      <c r="C3" s="5" t="n">
        <f aca="false">COUNTA(B8:B107)</f>
        <v>0</v>
      </c>
      <c r="D3" s="6" t="s">
        <v>5</v>
      </c>
      <c r="F3" s="7" t="n">
        <f aca="false">COUNTIFS(C8:C107,"Subcontractor",N8:N107,"Active")</f>
        <v>0</v>
      </c>
      <c r="G3" s="6" t="s">
        <v>6</v>
      </c>
      <c r="I3" s="7" t="n">
        <f aca="false">COUNTIFS(C8:C107,"Vendor",N8:N107,"Active")</f>
        <v>0</v>
      </c>
      <c r="J3" s="8" t="s">
        <v>7</v>
      </c>
      <c r="L3" s="9" t="n">
        <f aca="false">COUNTIF(N8:N107,"Inactive")</f>
        <v>0</v>
      </c>
      <c r="M3" s="10" t="s">
        <v>8</v>
      </c>
      <c r="O3" s="11" t="str">
        <f aca="false">IFERROR(AVERAGEIF(M8:M107,"&lt;&gt;",M8:M107),"—")</f>
        <v>—</v>
      </c>
    </row>
    <row r="5" customFormat="false" ht="15.75" hidden="false" customHeight="true" outlineLevel="0" collapsed="false">
      <c r="A5" s="12" t="s">
        <v>9</v>
      </c>
      <c r="B5" s="12"/>
      <c r="C5" s="13" t="s">
        <v>10</v>
      </c>
      <c r="D5" s="13"/>
      <c r="E5" s="14" t="s">
        <v>11</v>
      </c>
      <c r="F5" s="14"/>
      <c r="G5" s="14"/>
      <c r="H5" s="15" t="s">
        <v>12</v>
      </c>
      <c r="I5" s="15"/>
      <c r="J5" s="15"/>
      <c r="K5" s="13" t="s">
        <v>13</v>
      </c>
      <c r="L5" s="13"/>
      <c r="M5" s="13"/>
      <c r="N5" s="16" t="s">
        <v>14</v>
      </c>
      <c r="O5" s="17" t="s">
        <v>15</v>
      </c>
      <c r="P5" s="17" t="s">
        <v>16</v>
      </c>
    </row>
    <row r="6" customFormat="false" ht="30" hidden="false" customHeight="true" outlineLevel="0" collapsed="false">
      <c r="A6" s="18" t="s">
        <v>17</v>
      </c>
      <c r="B6" s="18" t="s">
        <v>18</v>
      </c>
      <c r="C6" s="19" t="s">
        <v>19</v>
      </c>
      <c r="D6" s="19" t="s">
        <v>20</v>
      </c>
      <c r="E6" s="20" t="s">
        <v>21</v>
      </c>
      <c r="F6" s="20" t="s">
        <v>22</v>
      </c>
      <c r="G6" s="20" t="s">
        <v>23</v>
      </c>
      <c r="H6" s="21" t="s">
        <v>24</v>
      </c>
      <c r="I6" s="21" t="s">
        <v>25</v>
      </c>
      <c r="J6" s="21" t="s">
        <v>26</v>
      </c>
      <c r="K6" s="19" t="s">
        <v>27</v>
      </c>
      <c r="L6" s="19" t="s">
        <v>28</v>
      </c>
      <c r="M6" s="19" t="s">
        <v>29</v>
      </c>
      <c r="N6" s="18" t="s">
        <v>30</v>
      </c>
      <c r="O6" s="20" t="s">
        <v>31</v>
      </c>
      <c r="P6" s="20" t="s">
        <v>32</v>
      </c>
    </row>
    <row r="8" customFormat="false" ht="18" hidden="false" customHeight="true" outlineLevel="0" collapsed="false">
      <c r="A8" s="22" t="n">
        <v>1</v>
      </c>
      <c r="B8" s="23"/>
      <c r="C8" s="24"/>
      <c r="D8" s="24"/>
      <c r="E8" s="23"/>
      <c r="F8" s="23"/>
      <c r="G8" s="23"/>
      <c r="H8" s="24"/>
      <c r="I8" s="24"/>
      <c r="J8" s="24"/>
      <c r="K8" s="25"/>
      <c r="L8" s="26"/>
      <c r="M8" s="24"/>
      <c r="N8" s="24"/>
      <c r="O8" s="23"/>
      <c r="P8" s="23"/>
    </row>
    <row r="9" customFormat="false" ht="18" hidden="false" customHeight="true" outlineLevel="0" collapsed="false">
      <c r="A9" s="27" t="n">
        <v>2</v>
      </c>
      <c r="B9" s="28"/>
      <c r="C9" s="29"/>
      <c r="D9" s="29"/>
      <c r="E9" s="28"/>
      <c r="F9" s="28"/>
      <c r="G9" s="28"/>
      <c r="H9" s="29"/>
      <c r="I9" s="29"/>
      <c r="J9" s="29"/>
      <c r="K9" s="30"/>
      <c r="L9" s="31"/>
      <c r="M9" s="29"/>
      <c r="N9" s="29"/>
      <c r="O9" s="28"/>
      <c r="P9" s="28"/>
    </row>
    <row r="10" customFormat="false" ht="18" hidden="false" customHeight="true" outlineLevel="0" collapsed="false">
      <c r="A10" s="22" t="n">
        <v>3</v>
      </c>
      <c r="B10" s="23"/>
      <c r="C10" s="24"/>
      <c r="D10" s="24"/>
      <c r="E10" s="23"/>
      <c r="F10" s="23"/>
      <c r="G10" s="23"/>
      <c r="H10" s="24"/>
      <c r="I10" s="24"/>
      <c r="J10" s="24"/>
      <c r="K10" s="25"/>
      <c r="L10" s="26"/>
      <c r="M10" s="24"/>
      <c r="N10" s="24"/>
      <c r="O10" s="23"/>
      <c r="P10" s="23"/>
    </row>
    <row r="11" customFormat="false" ht="18" hidden="false" customHeight="true" outlineLevel="0" collapsed="false">
      <c r="A11" s="27" t="n">
        <v>4</v>
      </c>
      <c r="B11" s="28"/>
      <c r="C11" s="29"/>
      <c r="D11" s="29"/>
      <c r="E11" s="28"/>
      <c r="F11" s="28"/>
      <c r="G11" s="28"/>
      <c r="H11" s="29"/>
      <c r="I11" s="29"/>
      <c r="J11" s="29"/>
      <c r="K11" s="30"/>
      <c r="L11" s="31"/>
      <c r="M11" s="29"/>
      <c r="N11" s="29"/>
      <c r="O11" s="28"/>
      <c r="P11" s="28"/>
    </row>
    <row r="12" customFormat="false" ht="18" hidden="false" customHeight="true" outlineLevel="0" collapsed="false">
      <c r="A12" s="22" t="n">
        <v>5</v>
      </c>
      <c r="B12" s="23"/>
      <c r="C12" s="24"/>
      <c r="D12" s="24"/>
      <c r="E12" s="23"/>
      <c r="F12" s="23"/>
      <c r="G12" s="23"/>
      <c r="H12" s="24"/>
      <c r="I12" s="24"/>
      <c r="J12" s="24"/>
      <c r="K12" s="25"/>
      <c r="L12" s="26"/>
      <c r="M12" s="24"/>
      <c r="N12" s="24"/>
      <c r="O12" s="23"/>
      <c r="P12" s="23"/>
    </row>
    <row r="13" customFormat="false" ht="18" hidden="false" customHeight="true" outlineLevel="0" collapsed="false">
      <c r="A13" s="27" t="n">
        <v>6</v>
      </c>
      <c r="B13" s="28"/>
      <c r="C13" s="29"/>
      <c r="D13" s="29"/>
      <c r="E13" s="28"/>
      <c r="F13" s="28"/>
      <c r="G13" s="28"/>
      <c r="H13" s="29"/>
      <c r="I13" s="29"/>
      <c r="J13" s="29"/>
      <c r="K13" s="30"/>
      <c r="L13" s="31"/>
      <c r="M13" s="29"/>
      <c r="N13" s="29"/>
      <c r="O13" s="28"/>
      <c r="P13" s="28"/>
    </row>
    <row r="14" customFormat="false" ht="18" hidden="false" customHeight="true" outlineLevel="0" collapsed="false">
      <c r="A14" s="22" t="n">
        <v>7</v>
      </c>
      <c r="B14" s="23"/>
      <c r="C14" s="24"/>
      <c r="D14" s="24"/>
      <c r="E14" s="23"/>
      <c r="F14" s="23"/>
      <c r="G14" s="23"/>
      <c r="H14" s="24"/>
      <c r="I14" s="24"/>
      <c r="J14" s="24"/>
      <c r="K14" s="25"/>
      <c r="L14" s="26"/>
      <c r="M14" s="24"/>
      <c r="N14" s="24"/>
      <c r="O14" s="23"/>
      <c r="P14" s="23"/>
    </row>
    <row r="15" customFormat="false" ht="18" hidden="false" customHeight="true" outlineLevel="0" collapsed="false">
      <c r="A15" s="27" t="n">
        <v>8</v>
      </c>
      <c r="B15" s="28"/>
      <c r="C15" s="29"/>
      <c r="D15" s="29"/>
      <c r="E15" s="28"/>
      <c r="F15" s="28"/>
      <c r="G15" s="28"/>
      <c r="H15" s="29"/>
      <c r="I15" s="29"/>
      <c r="J15" s="29"/>
      <c r="K15" s="30"/>
      <c r="L15" s="31"/>
      <c r="M15" s="29"/>
      <c r="N15" s="29"/>
      <c r="O15" s="28"/>
      <c r="P15" s="28"/>
    </row>
    <row r="16" customFormat="false" ht="18" hidden="false" customHeight="true" outlineLevel="0" collapsed="false">
      <c r="A16" s="22" t="n">
        <v>9</v>
      </c>
      <c r="B16" s="23"/>
      <c r="C16" s="24"/>
      <c r="D16" s="24"/>
      <c r="E16" s="23"/>
      <c r="F16" s="23"/>
      <c r="G16" s="23"/>
      <c r="H16" s="24"/>
      <c r="I16" s="24"/>
      <c r="J16" s="24"/>
      <c r="K16" s="25"/>
      <c r="L16" s="26"/>
      <c r="M16" s="24"/>
      <c r="N16" s="24"/>
      <c r="O16" s="23"/>
      <c r="P16" s="23"/>
    </row>
    <row r="17" customFormat="false" ht="18" hidden="false" customHeight="true" outlineLevel="0" collapsed="false">
      <c r="A17" s="27" t="n">
        <v>10</v>
      </c>
      <c r="B17" s="28"/>
      <c r="C17" s="29"/>
      <c r="D17" s="29"/>
      <c r="E17" s="28"/>
      <c r="F17" s="28"/>
      <c r="G17" s="28"/>
      <c r="H17" s="29"/>
      <c r="I17" s="29"/>
      <c r="J17" s="29"/>
      <c r="K17" s="30"/>
      <c r="L17" s="31"/>
      <c r="M17" s="29"/>
      <c r="N17" s="29"/>
      <c r="O17" s="28"/>
      <c r="P17" s="28"/>
    </row>
    <row r="18" customFormat="false" ht="18" hidden="false" customHeight="true" outlineLevel="0" collapsed="false">
      <c r="A18" s="22" t="n">
        <v>11</v>
      </c>
      <c r="B18" s="23"/>
      <c r="C18" s="24"/>
      <c r="D18" s="24"/>
      <c r="E18" s="23"/>
      <c r="F18" s="23"/>
      <c r="G18" s="23"/>
      <c r="H18" s="24"/>
      <c r="I18" s="24"/>
      <c r="J18" s="24"/>
      <c r="K18" s="25"/>
      <c r="L18" s="26"/>
      <c r="M18" s="24"/>
      <c r="N18" s="24"/>
      <c r="O18" s="23"/>
      <c r="P18" s="23"/>
    </row>
    <row r="19" customFormat="false" ht="18" hidden="false" customHeight="true" outlineLevel="0" collapsed="false">
      <c r="A19" s="27" t="n">
        <v>12</v>
      </c>
      <c r="B19" s="28"/>
      <c r="C19" s="29"/>
      <c r="D19" s="29"/>
      <c r="E19" s="28"/>
      <c r="F19" s="28"/>
      <c r="G19" s="28"/>
      <c r="H19" s="29"/>
      <c r="I19" s="29"/>
      <c r="J19" s="29"/>
      <c r="K19" s="30"/>
      <c r="L19" s="31"/>
      <c r="M19" s="29"/>
      <c r="N19" s="29"/>
      <c r="O19" s="28"/>
      <c r="P19" s="28"/>
    </row>
    <row r="20" customFormat="false" ht="18" hidden="false" customHeight="true" outlineLevel="0" collapsed="false">
      <c r="A20" s="22" t="n">
        <v>13</v>
      </c>
      <c r="B20" s="23"/>
      <c r="C20" s="24"/>
      <c r="D20" s="24"/>
      <c r="E20" s="23"/>
      <c r="F20" s="23"/>
      <c r="G20" s="23"/>
      <c r="H20" s="24"/>
      <c r="I20" s="24"/>
      <c r="J20" s="24"/>
      <c r="K20" s="25"/>
      <c r="L20" s="26"/>
      <c r="M20" s="24"/>
      <c r="N20" s="24"/>
      <c r="O20" s="23"/>
      <c r="P20" s="23"/>
    </row>
    <row r="21" customFormat="false" ht="18" hidden="false" customHeight="true" outlineLevel="0" collapsed="false">
      <c r="A21" s="27" t="n">
        <v>14</v>
      </c>
      <c r="B21" s="28"/>
      <c r="C21" s="29"/>
      <c r="D21" s="29"/>
      <c r="E21" s="28"/>
      <c r="F21" s="28"/>
      <c r="G21" s="28"/>
      <c r="H21" s="29"/>
      <c r="I21" s="29"/>
      <c r="J21" s="29"/>
      <c r="K21" s="30"/>
      <c r="L21" s="31"/>
      <c r="M21" s="29"/>
      <c r="N21" s="29"/>
      <c r="O21" s="28"/>
      <c r="P21" s="28"/>
    </row>
    <row r="22" customFormat="false" ht="18" hidden="false" customHeight="true" outlineLevel="0" collapsed="false">
      <c r="A22" s="22" t="n">
        <v>15</v>
      </c>
      <c r="B22" s="23"/>
      <c r="C22" s="24"/>
      <c r="D22" s="24"/>
      <c r="E22" s="23"/>
      <c r="F22" s="23"/>
      <c r="G22" s="23"/>
      <c r="H22" s="24"/>
      <c r="I22" s="24"/>
      <c r="J22" s="24"/>
      <c r="K22" s="25"/>
      <c r="L22" s="26"/>
      <c r="M22" s="24"/>
      <c r="N22" s="24"/>
      <c r="O22" s="23"/>
      <c r="P22" s="23"/>
    </row>
    <row r="23" customFormat="false" ht="18" hidden="false" customHeight="true" outlineLevel="0" collapsed="false">
      <c r="A23" s="27" t="n">
        <v>16</v>
      </c>
      <c r="B23" s="28"/>
      <c r="C23" s="29"/>
      <c r="D23" s="29"/>
      <c r="E23" s="28"/>
      <c r="F23" s="28"/>
      <c r="G23" s="28"/>
      <c r="H23" s="29"/>
      <c r="I23" s="29"/>
      <c r="J23" s="29"/>
      <c r="K23" s="30"/>
      <c r="L23" s="31"/>
      <c r="M23" s="29"/>
      <c r="N23" s="29"/>
      <c r="O23" s="28"/>
      <c r="P23" s="28"/>
    </row>
    <row r="24" customFormat="false" ht="18" hidden="false" customHeight="true" outlineLevel="0" collapsed="false">
      <c r="A24" s="22" t="n">
        <v>17</v>
      </c>
      <c r="B24" s="23"/>
      <c r="C24" s="24"/>
      <c r="D24" s="24"/>
      <c r="E24" s="23"/>
      <c r="F24" s="23"/>
      <c r="G24" s="23"/>
      <c r="H24" s="24"/>
      <c r="I24" s="24"/>
      <c r="J24" s="24"/>
      <c r="K24" s="25"/>
      <c r="L24" s="26"/>
      <c r="M24" s="24"/>
      <c r="N24" s="24"/>
      <c r="O24" s="23"/>
      <c r="P24" s="23"/>
    </row>
    <row r="25" customFormat="false" ht="18" hidden="false" customHeight="true" outlineLevel="0" collapsed="false">
      <c r="A25" s="27" t="n">
        <v>18</v>
      </c>
      <c r="B25" s="28"/>
      <c r="C25" s="29"/>
      <c r="D25" s="29"/>
      <c r="E25" s="28"/>
      <c r="F25" s="28"/>
      <c r="G25" s="28"/>
      <c r="H25" s="29"/>
      <c r="I25" s="29"/>
      <c r="J25" s="29"/>
      <c r="K25" s="30"/>
      <c r="L25" s="31"/>
      <c r="M25" s="29"/>
      <c r="N25" s="29"/>
      <c r="O25" s="28"/>
      <c r="P25" s="28"/>
    </row>
    <row r="26" customFormat="false" ht="18" hidden="false" customHeight="true" outlineLevel="0" collapsed="false">
      <c r="A26" s="22" t="n">
        <v>19</v>
      </c>
      <c r="B26" s="23"/>
      <c r="C26" s="24"/>
      <c r="D26" s="24"/>
      <c r="E26" s="23"/>
      <c r="F26" s="23"/>
      <c r="G26" s="23"/>
      <c r="H26" s="24"/>
      <c r="I26" s="24"/>
      <c r="J26" s="24"/>
      <c r="K26" s="25"/>
      <c r="L26" s="26"/>
      <c r="M26" s="24"/>
      <c r="N26" s="24"/>
      <c r="O26" s="23"/>
      <c r="P26" s="23"/>
    </row>
    <row r="27" customFormat="false" ht="18" hidden="false" customHeight="true" outlineLevel="0" collapsed="false">
      <c r="A27" s="27" t="n">
        <v>20</v>
      </c>
      <c r="B27" s="28"/>
      <c r="C27" s="29"/>
      <c r="D27" s="29"/>
      <c r="E27" s="28"/>
      <c r="F27" s="28"/>
      <c r="G27" s="28"/>
      <c r="H27" s="29"/>
      <c r="I27" s="29"/>
      <c r="J27" s="29"/>
      <c r="K27" s="30"/>
      <c r="L27" s="31"/>
      <c r="M27" s="29"/>
      <c r="N27" s="29"/>
      <c r="O27" s="28"/>
      <c r="P27" s="28"/>
    </row>
    <row r="28" customFormat="false" ht="18" hidden="false" customHeight="true" outlineLevel="0" collapsed="false">
      <c r="A28" s="22" t="n">
        <v>21</v>
      </c>
      <c r="B28" s="23"/>
      <c r="C28" s="24"/>
      <c r="D28" s="24"/>
      <c r="E28" s="23"/>
      <c r="F28" s="23"/>
      <c r="G28" s="23"/>
      <c r="H28" s="24"/>
      <c r="I28" s="24"/>
      <c r="J28" s="24"/>
      <c r="K28" s="25"/>
      <c r="L28" s="26"/>
      <c r="M28" s="24"/>
      <c r="N28" s="24"/>
      <c r="O28" s="23"/>
      <c r="P28" s="23"/>
    </row>
    <row r="29" customFormat="false" ht="18" hidden="false" customHeight="true" outlineLevel="0" collapsed="false">
      <c r="A29" s="27" t="n">
        <v>22</v>
      </c>
      <c r="B29" s="28"/>
      <c r="C29" s="29"/>
      <c r="D29" s="29"/>
      <c r="E29" s="28"/>
      <c r="F29" s="28"/>
      <c r="G29" s="28"/>
      <c r="H29" s="29"/>
      <c r="I29" s="29"/>
      <c r="J29" s="29"/>
      <c r="K29" s="30"/>
      <c r="L29" s="31"/>
      <c r="M29" s="29"/>
      <c r="N29" s="29"/>
      <c r="O29" s="28"/>
      <c r="P29" s="28"/>
    </row>
    <row r="30" customFormat="false" ht="18" hidden="false" customHeight="true" outlineLevel="0" collapsed="false">
      <c r="A30" s="22" t="n">
        <v>23</v>
      </c>
      <c r="B30" s="23"/>
      <c r="C30" s="24"/>
      <c r="D30" s="24"/>
      <c r="E30" s="23"/>
      <c r="F30" s="23"/>
      <c r="G30" s="23"/>
      <c r="H30" s="24"/>
      <c r="I30" s="24"/>
      <c r="J30" s="24"/>
      <c r="K30" s="25"/>
      <c r="L30" s="26"/>
      <c r="M30" s="24"/>
      <c r="N30" s="24"/>
      <c r="O30" s="23"/>
      <c r="P30" s="23"/>
    </row>
    <row r="31" customFormat="false" ht="18" hidden="false" customHeight="true" outlineLevel="0" collapsed="false">
      <c r="A31" s="27" t="n">
        <v>24</v>
      </c>
      <c r="B31" s="28"/>
      <c r="C31" s="29"/>
      <c r="D31" s="29"/>
      <c r="E31" s="28"/>
      <c r="F31" s="28"/>
      <c r="G31" s="28"/>
      <c r="H31" s="29"/>
      <c r="I31" s="29"/>
      <c r="J31" s="29"/>
      <c r="K31" s="30"/>
      <c r="L31" s="31"/>
      <c r="M31" s="29"/>
      <c r="N31" s="29"/>
      <c r="O31" s="28"/>
      <c r="P31" s="28"/>
    </row>
    <row r="32" customFormat="false" ht="18" hidden="false" customHeight="true" outlineLevel="0" collapsed="false">
      <c r="A32" s="22" t="n">
        <v>25</v>
      </c>
      <c r="B32" s="23"/>
      <c r="C32" s="24"/>
      <c r="D32" s="24"/>
      <c r="E32" s="23"/>
      <c r="F32" s="23"/>
      <c r="G32" s="23"/>
      <c r="H32" s="24"/>
      <c r="I32" s="24"/>
      <c r="J32" s="24"/>
      <c r="K32" s="25"/>
      <c r="L32" s="26"/>
      <c r="M32" s="24"/>
      <c r="N32" s="24"/>
      <c r="O32" s="23"/>
      <c r="P32" s="23"/>
    </row>
    <row r="33" customFormat="false" ht="18" hidden="false" customHeight="true" outlineLevel="0" collapsed="false">
      <c r="A33" s="27" t="n">
        <v>26</v>
      </c>
      <c r="B33" s="28"/>
      <c r="C33" s="29"/>
      <c r="D33" s="29"/>
      <c r="E33" s="28"/>
      <c r="F33" s="28"/>
      <c r="G33" s="28"/>
      <c r="H33" s="29"/>
      <c r="I33" s="29"/>
      <c r="J33" s="29"/>
      <c r="K33" s="30"/>
      <c r="L33" s="31"/>
      <c r="M33" s="29"/>
      <c r="N33" s="29"/>
      <c r="O33" s="28"/>
      <c r="P33" s="28"/>
    </row>
    <row r="34" customFormat="false" ht="18" hidden="false" customHeight="true" outlineLevel="0" collapsed="false">
      <c r="A34" s="22" t="n">
        <v>27</v>
      </c>
      <c r="B34" s="23"/>
      <c r="C34" s="24"/>
      <c r="D34" s="24"/>
      <c r="E34" s="23"/>
      <c r="F34" s="23"/>
      <c r="G34" s="23"/>
      <c r="H34" s="24"/>
      <c r="I34" s="24"/>
      <c r="J34" s="24"/>
      <c r="K34" s="25"/>
      <c r="L34" s="26"/>
      <c r="M34" s="24"/>
      <c r="N34" s="24"/>
      <c r="O34" s="23"/>
      <c r="P34" s="23"/>
    </row>
    <row r="35" customFormat="false" ht="18" hidden="false" customHeight="true" outlineLevel="0" collapsed="false">
      <c r="A35" s="27" t="n">
        <v>28</v>
      </c>
      <c r="B35" s="28"/>
      <c r="C35" s="29"/>
      <c r="D35" s="29"/>
      <c r="E35" s="28"/>
      <c r="F35" s="28"/>
      <c r="G35" s="28"/>
      <c r="H35" s="29"/>
      <c r="I35" s="29"/>
      <c r="J35" s="29"/>
      <c r="K35" s="30"/>
      <c r="L35" s="31"/>
      <c r="M35" s="29"/>
      <c r="N35" s="29"/>
      <c r="O35" s="28"/>
      <c r="P35" s="28"/>
    </row>
    <row r="36" customFormat="false" ht="18" hidden="false" customHeight="true" outlineLevel="0" collapsed="false">
      <c r="A36" s="22" t="n">
        <v>29</v>
      </c>
      <c r="B36" s="23"/>
      <c r="C36" s="24"/>
      <c r="D36" s="24"/>
      <c r="E36" s="23"/>
      <c r="F36" s="23"/>
      <c r="G36" s="23"/>
      <c r="H36" s="24"/>
      <c r="I36" s="24"/>
      <c r="J36" s="24"/>
      <c r="K36" s="25"/>
      <c r="L36" s="26"/>
      <c r="M36" s="24"/>
      <c r="N36" s="24"/>
      <c r="O36" s="23"/>
      <c r="P36" s="23"/>
    </row>
    <row r="37" customFormat="false" ht="18" hidden="false" customHeight="true" outlineLevel="0" collapsed="false">
      <c r="A37" s="27" t="n">
        <v>30</v>
      </c>
      <c r="B37" s="28"/>
      <c r="C37" s="29"/>
      <c r="D37" s="29"/>
      <c r="E37" s="28"/>
      <c r="F37" s="28"/>
      <c r="G37" s="28"/>
      <c r="H37" s="29"/>
      <c r="I37" s="29"/>
      <c r="J37" s="29"/>
      <c r="K37" s="30"/>
      <c r="L37" s="31"/>
      <c r="M37" s="29"/>
      <c r="N37" s="29"/>
      <c r="O37" s="28"/>
      <c r="P37" s="28"/>
    </row>
    <row r="38" customFormat="false" ht="18" hidden="false" customHeight="true" outlineLevel="0" collapsed="false">
      <c r="A38" s="22" t="n">
        <v>31</v>
      </c>
      <c r="B38" s="23"/>
      <c r="C38" s="24"/>
      <c r="D38" s="24"/>
      <c r="E38" s="23"/>
      <c r="F38" s="23"/>
      <c r="G38" s="23"/>
      <c r="H38" s="24"/>
      <c r="I38" s="24"/>
      <c r="J38" s="24"/>
      <c r="K38" s="25"/>
      <c r="L38" s="26"/>
      <c r="M38" s="24"/>
      <c r="N38" s="24"/>
      <c r="O38" s="23"/>
      <c r="P38" s="23"/>
    </row>
    <row r="39" customFormat="false" ht="18" hidden="false" customHeight="true" outlineLevel="0" collapsed="false">
      <c r="A39" s="27" t="n">
        <v>32</v>
      </c>
      <c r="B39" s="28"/>
      <c r="C39" s="29"/>
      <c r="D39" s="29"/>
      <c r="E39" s="28"/>
      <c r="F39" s="28"/>
      <c r="G39" s="28"/>
      <c r="H39" s="29"/>
      <c r="I39" s="29"/>
      <c r="J39" s="29"/>
      <c r="K39" s="30"/>
      <c r="L39" s="31"/>
      <c r="M39" s="29"/>
      <c r="N39" s="29"/>
      <c r="O39" s="28"/>
      <c r="P39" s="28"/>
    </row>
    <row r="40" customFormat="false" ht="18" hidden="false" customHeight="true" outlineLevel="0" collapsed="false">
      <c r="A40" s="22" t="n">
        <v>33</v>
      </c>
      <c r="B40" s="23"/>
      <c r="C40" s="24"/>
      <c r="D40" s="24"/>
      <c r="E40" s="23"/>
      <c r="F40" s="23"/>
      <c r="G40" s="23"/>
      <c r="H40" s="24"/>
      <c r="I40" s="24"/>
      <c r="J40" s="24"/>
      <c r="K40" s="25"/>
      <c r="L40" s="26"/>
      <c r="M40" s="24"/>
      <c r="N40" s="24"/>
      <c r="O40" s="23"/>
      <c r="P40" s="23"/>
    </row>
    <row r="41" customFormat="false" ht="18" hidden="false" customHeight="true" outlineLevel="0" collapsed="false">
      <c r="A41" s="27" t="n">
        <v>34</v>
      </c>
      <c r="B41" s="28"/>
      <c r="C41" s="29"/>
      <c r="D41" s="29"/>
      <c r="E41" s="28"/>
      <c r="F41" s="28"/>
      <c r="G41" s="28"/>
      <c r="H41" s="29"/>
      <c r="I41" s="29"/>
      <c r="J41" s="29"/>
      <c r="K41" s="30"/>
      <c r="L41" s="31"/>
      <c r="M41" s="29"/>
      <c r="N41" s="29"/>
      <c r="O41" s="28"/>
      <c r="P41" s="28"/>
    </row>
    <row r="42" customFormat="false" ht="18" hidden="false" customHeight="true" outlineLevel="0" collapsed="false">
      <c r="A42" s="22" t="n">
        <v>35</v>
      </c>
      <c r="B42" s="23"/>
      <c r="C42" s="24"/>
      <c r="D42" s="24"/>
      <c r="E42" s="23"/>
      <c r="F42" s="23"/>
      <c r="G42" s="23"/>
      <c r="H42" s="24"/>
      <c r="I42" s="24"/>
      <c r="J42" s="24"/>
      <c r="K42" s="25"/>
      <c r="L42" s="26"/>
      <c r="M42" s="24"/>
      <c r="N42" s="24"/>
      <c r="O42" s="23"/>
      <c r="P42" s="23"/>
    </row>
    <row r="43" customFormat="false" ht="18" hidden="false" customHeight="true" outlineLevel="0" collapsed="false">
      <c r="A43" s="27" t="n">
        <v>36</v>
      </c>
      <c r="B43" s="28"/>
      <c r="C43" s="29"/>
      <c r="D43" s="29"/>
      <c r="E43" s="28"/>
      <c r="F43" s="28"/>
      <c r="G43" s="28"/>
      <c r="H43" s="29"/>
      <c r="I43" s="29"/>
      <c r="J43" s="29"/>
      <c r="K43" s="30"/>
      <c r="L43" s="31"/>
      <c r="M43" s="29"/>
      <c r="N43" s="29"/>
      <c r="O43" s="28"/>
      <c r="P43" s="28"/>
    </row>
    <row r="44" customFormat="false" ht="18" hidden="false" customHeight="true" outlineLevel="0" collapsed="false">
      <c r="A44" s="22" t="n">
        <v>37</v>
      </c>
      <c r="B44" s="23"/>
      <c r="C44" s="24"/>
      <c r="D44" s="24"/>
      <c r="E44" s="23"/>
      <c r="F44" s="23"/>
      <c r="G44" s="23"/>
      <c r="H44" s="24"/>
      <c r="I44" s="24"/>
      <c r="J44" s="24"/>
      <c r="K44" s="25"/>
      <c r="L44" s="26"/>
      <c r="M44" s="24"/>
      <c r="N44" s="24"/>
      <c r="O44" s="23"/>
      <c r="P44" s="23"/>
    </row>
    <row r="45" customFormat="false" ht="18" hidden="false" customHeight="true" outlineLevel="0" collapsed="false">
      <c r="A45" s="27" t="n">
        <v>38</v>
      </c>
      <c r="B45" s="28"/>
      <c r="C45" s="29"/>
      <c r="D45" s="29"/>
      <c r="E45" s="28"/>
      <c r="F45" s="28"/>
      <c r="G45" s="28"/>
      <c r="H45" s="29"/>
      <c r="I45" s="29"/>
      <c r="J45" s="29"/>
      <c r="K45" s="30"/>
      <c r="L45" s="31"/>
      <c r="M45" s="29"/>
      <c r="N45" s="29"/>
      <c r="O45" s="28"/>
      <c r="P45" s="28"/>
    </row>
    <row r="46" customFormat="false" ht="18" hidden="false" customHeight="true" outlineLevel="0" collapsed="false">
      <c r="A46" s="22" t="n">
        <v>39</v>
      </c>
      <c r="B46" s="23"/>
      <c r="C46" s="24"/>
      <c r="D46" s="24"/>
      <c r="E46" s="23"/>
      <c r="F46" s="23"/>
      <c r="G46" s="23"/>
      <c r="H46" s="24"/>
      <c r="I46" s="24"/>
      <c r="J46" s="24"/>
      <c r="K46" s="25"/>
      <c r="L46" s="26"/>
      <c r="M46" s="24"/>
      <c r="N46" s="24"/>
      <c r="O46" s="23"/>
      <c r="P46" s="23"/>
    </row>
    <row r="47" customFormat="false" ht="18" hidden="false" customHeight="true" outlineLevel="0" collapsed="false">
      <c r="A47" s="27" t="n">
        <v>40</v>
      </c>
      <c r="B47" s="28"/>
      <c r="C47" s="29"/>
      <c r="D47" s="29"/>
      <c r="E47" s="28"/>
      <c r="F47" s="28"/>
      <c r="G47" s="28"/>
      <c r="H47" s="29"/>
      <c r="I47" s="29"/>
      <c r="J47" s="29"/>
      <c r="K47" s="30"/>
      <c r="L47" s="31"/>
      <c r="M47" s="29"/>
      <c r="N47" s="29"/>
      <c r="O47" s="28"/>
      <c r="P47" s="28"/>
    </row>
    <row r="48" customFormat="false" ht="18" hidden="false" customHeight="true" outlineLevel="0" collapsed="false">
      <c r="A48" s="22" t="n">
        <v>41</v>
      </c>
      <c r="B48" s="23"/>
      <c r="C48" s="24"/>
      <c r="D48" s="24"/>
      <c r="E48" s="23"/>
      <c r="F48" s="23"/>
      <c r="G48" s="23"/>
      <c r="H48" s="24"/>
      <c r="I48" s="24"/>
      <c r="J48" s="24"/>
      <c r="K48" s="25"/>
      <c r="L48" s="26"/>
      <c r="M48" s="24"/>
      <c r="N48" s="24"/>
      <c r="O48" s="23"/>
      <c r="P48" s="23"/>
    </row>
    <row r="49" customFormat="false" ht="18" hidden="false" customHeight="true" outlineLevel="0" collapsed="false">
      <c r="A49" s="27" t="n">
        <v>42</v>
      </c>
      <c r="B49" s="28"/>
      <c r="C49" s="29"/>
      <c r="D49" s="29"/>
      <c r="E49" s="28"/>
      <c r="F49" s="28"/>
      <c r="G49" s="28"/>
      <c r="H49" s="29"/>
      <c r="I49" s="29"/>
      <c r="J49" s="29"/>
      <c r="K49" s="30"/>
      <c r="L49" s="31"/>
      <c r="M49" s="29"/>
      <c r="N49" s="29"/>
      <c r="O49" s="28"/>
      <c r="P49" s="28"/>
    </row>
    <row r="50" customFormat="false" ht="18" hidden="false" customHeight="true" outlineLevel="0" collapsed="false">
      <c r="A50" s="22" t="n">
        <v>43</v>
      </c>
      <c r="B50" s="23"/>
      <c r="C50" s="24"/>
      <c r="D50" s="24"/>
      <c r="E50" s="23"/>
      <c r="F50" s="23"/>
      <c r="G50" s="23"/>
      <c r="H50" s="24"/>
      <c r="I50" s="24"/>
      <c r="J50" s="24"/>
      <c r="K50" s="25"/>
      <c r="L50" s="26"/>
      <c r="M50" s="24"/>
      <c r="N50" s="24"/>
      <c r="O50" s="23"/>
      <c r="P50" s="23"/>
    </row>
    <row r="51" customFormat="false" ht="18" hidden="false" customHeight="true" outlineLevel="0" collapsed="false">
      <c r="A51" s="27" t="n">
        <v>44</v>
      </c>
      <c r="B51" s="28"/>
      <c r="C51" s="29"/>
      <c r="D51" s="29"/>
      <c r="E51" s="28"/>
      <c r="F51" s="28"/>
      <c r="G51" s="28"/>
      <c r="H51" s="29"/>
      <c r="I51" s="29"/>
      <c r="J51" s="29"/>
      <c r="K51" s="30"/>
      <c r="L51" s="31"/>
      <c r="M51" s="29"/>
      <c r="N51" s="29"/>
      <c r="O51" s="28"/>
      <c r="P51" s="28"/>
    </row>
    <row r="52" customFormat="false" ht="18" hidden="false" customHeight="true" outlineLevel="0" collapsed="false">
      <c r="A52" s="22" t="n">
        <v>45</v>
      </c>
      <c r="B52" s="23"/>
      <c r="C52" s="24"/>
      <c r="D52" s="24"/>
      <c r="E52" s="23"/>
      <c r="F52" s="23"/>
      <c r="G52" s="23"/>
      <c r="H52" s="24"/>
      <c r="I52" s="24"/>
      <c r="J52" s="24"/>
      <c r="K52" s="25"/>
      <c r="L52" s="26"/>
      <c r="M52" s="24"/>
      <c r="N52" s="24"/>
      <c r="O52" s="23"/>
      <c r="P52" s="23"/>
    </row>
    <row r="53" customFormat="false" ht="18" hidden="false" customHeight="true" outlineLevel="0" collapsed="false">
      <c r="A53" s="27" t="n">
        <v>46</v>
      </c>
      <c r="B53" s="28"/>
      <c r="C53" s="29"/>
      <c r="D53" s="29"/>
      <c r="E53" s="28"/>
      <c r="F53" s="28"/>
      <c r="G53" s="28"/>
      <c r="H53" s="29"/>
      <c r="I53" s="29"/>
      <c r="J53" s="29"/>
      <c r="K53" s="30"/>
      <c r="L53" s="31"/>
      <c r="M53" s="29"/>
      <c r="N53" s="29"/>
      <c r="O53" s="28"/>
      <c r="P53" s="28"/>
    </row>
    <row r="54" customFormat="false" ht="18" hidden="false" customHeight="true" outlineLevel="0" collapsed="false">
      <c r="A54" s="22" t="n">
        <v>47</v>
      </c>
      <c r="B54" s="23"/>
      <c r="C54" s="24"/>
      <c r="D54" s="24"/>
      <c r="E54" s="23"/>
      <c r="F54" s="23"/>
      <c r="G54" s="23"/>
      <c r="H54" s="24"/>
      <c r="I54" s="24"/>
      <c r="J54" s="24"/>
      <c r="K54" s="25"/>
      <c r="L54" s="26"/>
      <c r="M54" s="24"/>
      <c r="N54" s="24"/>
      <c r="O54" s="23"/>
      <c r="P54" s="23"/>
    </row>
    <row r="55" customFormat="false" ht="18" hidden="false" customHeight="true" outlineLevel="0" collapsed="false">
      <c r="A55" s="27" t="n">
        <v>48</v>
      </c>
      <c r="B55" s="28"/>
      <c r="C55" s="29"/>
      <c r="D55" s="29"/>
      <c r="E55" s="28"/>
      <c r="F55" s="28"/>
      <c r="G55" s="28"/>
      <c r="H55" s="29"/>
      <c r="I55" s="29"/>
      <c r="J55" s="29"/>
      <c r="K55" s="30"/>
      <c r="L55" s="31"/>
      <c r="M55" s="29"/>
      <c r="N55" s="29"/>
      <c r="O55" s="28"/>
      <c r="P55" s="28"/>
    </row>
    <row r="56" customFormat="false" ht="18" hidden="false" customHeight="true" outlineLevel="0" collapsed="false">
      <c r="A56" s="22" t="n">
        <v>49</v>
      </c>
      <c r="B56" s="23"/>
      <c r="C56" s="24"/>
      <c r="D56" s="24"/>
      <c r="E56" s="23"/>
      <c r="F56" s="23"/>
      <c r="G56" s="23"/>
      <c r="H56" s="24"/>
      <c r="I56" s="24"/>
      <c r="J56" s="24"/>
      <c r="K56" s="25"/>
      <c r="L56" s="26"/>
      <c r="M56" s="24"/>
      <c r="N56" s="24"/>
      <c r="O56" s="23"/>
      <c r="P56" s="23"/>
    </row>
    <row r="57" customFormat="false" ht="18" hidden="false" customHeight="true" outlineLevel="0" collapsed="false">
      <c r="A57" s="27" t="n">
        <v>50</v>
      </c>
      <c r="B57" s="28"/>
      <c r="C57" s="29"/>
      <c r="D57" s="29"/>
      <c r="E57" s="28"/>
      <c r="F57" s="28"/>
      <c r="G57" s="28"/>
      <c r="H57" s="29"/>
      <c r="I57" s="29"/>
      <c r="J57" s="29"/>
      <c r="K57" s="30"/>
      <c r="L57" s="31"/>
      <c r="M57" s="29"/>
      <c r="N57" s="29"/>
      <c r="O57" s="28"/>
      <c r="P57" s="28"/>
    </row>
    <row r="58" customFormat="false" ht="18" hidden="false" customHeight="true" outlineLevel="0" collapsed="false">
      <c r="A58" s="22" t="n">
        <v>51</v>
      </c>
      <c r="B58" s="23"/>
      <c r="C58" s="24"/>
      <c r="D58" s="24"/>
      <c r="E58" s="23"/>
      <c r="F58" s="23"/>
      <c r="G58" s="23"/>
      <c r="H58" s="24"/>
      <c r="I58" s="24"/>
      <c r="J58" s="24"/>
      <c r="K58" s="25"/>
      <c r="L58" s="26"/>
      <c r="M58" s="24"/>
      <c r="N58" s="24"/>
      <c r="O58" s="23"/>
      <c r="P58" s="23"/>
    </row>
    <row r="59" customFormat="false" ht="18" hidden="false" customHeight="true" outlineLevel="0" collapsed="false">
      <c r="A59" s="27" t="n">
        <v>52</v>
      </c>
      <c r="B59" s="28"/>
      <c r="C59" s="29"/>
      <c r="D59" s="29"/>
      <c r="E59" s="28"/>
      <c r="F59" s="28"/>
      <c r="G59" s="28"/>
      <c r="H59" s="29"/>
      <c r="I59" s="29"/>
      <c r="J59" s="29"/>
      <c r="K59" s="30"/>
      <c r="L59" s="31"/>
      <c r="M59" s="29"/>
      <c r="N59" s="29"/>
      <c r="O59" s="28"/>
      <c r="P59" s="28"/>
    </row>
    <row r="60" customFormat="false" ht="18" hidden="false" customHeight="true" outlineLevel="0" collapsed="false">
      <c r="A60" s="22" t="n">
        <v>53</v>
      </c>
      <c r="B60" s="23"/>
      <c r="C60" s="24"/>
      <c r="D60" s="24"/>
      <c r="E60" s="23"/>
      <c r="F60" s="23"/>
      <c r="G60" s="23"/>
      <c r="H60" s="24"/>
      <c r="I60" s="24"/>
      <c r="J60" s="24"/>
      <c r="K60" s="25"/>
      <c r="L60" s="26"/>
      <c r="M60" s="24"/>
      <c r="N60" s="24"/>
      <c r="O60" s="23"/>
      <c r="P60" s="23"/>
    </row>
    <row r="61" customFormat="false" ht="18" hidden="false" customHeight="true" outlineLevel="0" collapsed="false">
      <c r="A61" s="27" t="n">
        <v>54</v>
      </c>
      <c r="B61" s="28"/>
      <c r="C61" s="29"/>
      <c r="D61" s="29"/>
      <c r="E61" s="28"/>
      <c r="F61" s="28"/>
      <c r="G61" s="28"/>
      <c r="H61" s="29"/>
      <c r="I61" s="29"/>
      <c r="J61" s="29"/>
      <c r="K61" s="30"/>
      <c r="L61" s="31"/>
      <c r="M61" s="29"/>
      <c r="N61" s="29"/>
      <c r="O61" s="28"/>
      <c r="P61" s="28"/>
    </row>
    <row r="62" customFormat="false" ht="18" hidden="false" customHeight="true" outlineLevel="0" collapsed="false">
      <c r="A62" s="22" t="n">
        <v>55</v>
      </c>
      <c r="B62" s="23"/>
      <c r="C62" s="24"/>
      <c r="D62" s="24"/>
      <c r="E62" s="23"/>
      <c r="F62" s="23"/>
      <c r="G62" s="23"/>
      <c r="H62" s="24"/>
      <c r="I62" s="24"/>
      <c r="J62" s="24"/>
      <c r="K62" s="25"/>
      <c r="L62" s="26"/>
      <c r="M62" s="24"/>
      <c r="N62" s="24"/>
      <c r="O62" s="23"/>
      <c r="P62" s="23"/>
    </row>
    <row r="63" customFormat="false" ht="18" hidden="false" customHeight="true" outlineLevel="0" collapsed="false">
      <c r="A63" s="27" t="n">
        <v>56</v>
      </c>
      <c r="B63" s="28"/>
      <c r="C63" s="29"/>
      <c r="D63" s="29"/>
      <c r="E63" s="28"/>
      <c r="F63" s="28"/>
      <c r="G63" s="28"/>
      <c r="H63" s="29"/>
      <c r="I63" s="29"/>
      <c r="J63" s="29"/>
      <c r="K63" s="30"/>
      <c r="L63" s="31"/>
      <c r="M63" s="29"/>
      <c r="N63" s="29"/>
      <c r="O63" s="28"/>
      <c r="P63" s="28"/>
    </row>
    <row r="64" customFormat="false" ht="18" hidden="false" customHeight="true" outlineLevel="0" collapsed="false">
      <c r="A64" s="22" t="n">
        <v>57</v>
      </c>
      <c r="B64" s="23"/>
      <c r="C64" s="24"/>
      <c r="D64" s="24"/>
      <c r="E64" s="23"/>
      <c r="F64" s="23"/>
      <c r="G64" s="23"/>
      <c r="H64" s="24"/>
      <c r="I64" s="24"/>
      <c r="J64" s="24"/>
      <c r="K64" s="25"/>
      <c r="L64" s="26"/>
      <c r="M64" s="24"/>
      <c r="N64" s="24"/>
      <c r="O64" s="23"/>
      <c r="P64" s="23"/>
    </row>
    <row r="65" customFormat="false" ht="18" hidden="false" customHeight="true" outlineLevel="0" collapsed="false">
      <c r="A65" s="27" t="n">
        <v>58</v>
      </c>
      <c r="B65" s="28"/>
      <c r="C65" s="29"/>
      <c r="D65" s="29"/>
      <c r="E65" s="28"/>
      <c r="F65" s="28"/>
      <c r="G65" s="28"/>
      <c r="H65" s="29"/>
      <c r="I65" s="29"/>
      <c r="J65" s="29"/>
      <c r="K65" s="30"/>
      <c r="L65" s="31"/>
      <c r="M65" s="29"/>
      <c r="N65" s="29"/>
      <c r="O65" s="28"/>
      <c r="P65" s="28"/>
    </row>
    <row r="66" customFormat="false" ht="18" hidden="false" customHeight="true" outlineLevel="0" collapsed="false">
      <c r="A66" s="22" t="n">
        <v>59</v>
      </c>
      <c r="B66" s="23"/>
      <c r="C66" s="24"/>
      <c r="D66" s="24"/>
      <c r="E66" s="23"/>
      <c r="F66" s="23"/>
      <c r="G66" s="23"/>
      <c r="H66" s="24"/>
      <c r="I66" s="24"/>
      <c r="J66" s="24"/>
      <c r="K66" s="25"/>
      <c r="L66" s="26"/>
      <c r="M66" s="24"/>
      <c r="N66" s="24"/>
      <c r="O66" s="23"/>
      <c r="P66" s="23"/>
    </row>
    <row r="67" customFormat="false" ht="18" hidden="false" customHeight="true" outlineLevel="0" collapsed="false">
      <c r="A67" s="27" t="n">
        <v>60</v>
      </c>
      <c r="B67" s="28"/>
      <c r="C67" s="29"/>
      <c r="D67" s="29"/>
      <c r="E67" s="28"/>
      <c r="F67" s="28"/>
      <c r="G67" s="28"/>
      <c r="H67" s="29"/>
      <c r="I67" s="29"/>
      <c r="J67" s="29"/>
      <c r="K67" s="30"/>
      <c r="L67" s="31"/>
      <c r="M67" s="29"/>
      <c r="N67" s="29"/>
      <c r="O67" s="28"/>
      <c r="P67" s="28"/>
    </row>
    <row r="68" customFormat="false" ht="18" hidden="false" customHeight="true" outlineLevel="0" collapsed="false">
      <c r="A68" s="22" t="n">
        <v>61</v>
      </c>
      <c r="B68" s="23"/>
      <c r="C68" s="24"/>
      <c r="D68" s="24"/>
      <c r="E68" s="23"/>
      <c r="F68" s="23"/>
      <c r="G68" s="23"/>
      <c r="H68" s="24"/>
      <c r="I68" s="24"/>
      <c r="J68" s="24"/>
      <c r="K68" s="25"/>
      <c r="L68" s="26"/>
      <c r="M68" s="24"/>
      <c r="N68" s="24"/>
      <c r="O68" s="23"/>
      <c r="P68" s="23"/>
    </row>
    <row r="69" customFormat="false" ht="18" hidden="false" customHeight="true" outlineLevel="0" collapsed="false">
      <c r="A69" s="27" t="n">
        <v>62</v>
      </c>
      <c r="B69" s="28"/>
      <c r="C69" s="29"/>
      <c r="D69" s="29"/>
      <c r="E69" s="28"/>
      <c r="F69" s="28"/>
      <c r="G69" s="28"/>
      <c r="H69" s="29"/>
      <c r="I69" s="29"/>
      <c r="J69" s="29"/>
      <c r="K69" s="30"/>
      <c r="L69" s="31"/>
      <c r="M69" s="29"/>
      <c r="N69" s="29"/>
      <c r="O69" s="28"/>
      <c r="P69" s="28"/>
    </row>
    <row r="70" customFormat="false" ht="18" hidden="false" customHeight="true" outlineLevel="0" collapsed="false">
      <c r="A70" s="22" t="n">
        <v>63</v>
      </c>
      <c r="B70" s="23"/>
      <c r="C70" s="24"/>
      <c r="D70" s="24"/>
      <c r="E70" s="23"/>
      <c r="F70" s="23"/>
      <c r="G70" s="23"/>
      <c r="H70" s="24"/>
      <c r="I70" s="24"/>
      <c r="J70" s="24"/>
      <c r="K70" s="25"/>
      <c r="L70" s="26"/>
      <c r="M70" s="24"/>
      <c r="N70" s="24"/>
      <c r="O70" s="23"/>
      <c r="P70" s="23"/>
    </row>
    <row r="71" customFormat="false" ht="18" hidden="false" customHeight="true" outlineLevel="0" collapsed="false">
      <c r="A71" s="27" t="n">
        <v>64</v>
      </c>
      <c r="B71" s="28"/>
      <c r="C71" s="29"/>
      <c r="D71" s="29"/>
      <c r="E71" s="28"/>
      <c r="F71" s="28"/>
      <c r="G71" s="28"/>
      <c r="H71" s="29"/>
      <c r="I71" s="29"/>
      <c r="J71" s="29"/>
      <c r="K71" s="30"/>
      <c r="L71" s="31"/>
      <c r="M71" s="29"/>
      <c r="N71" s="29"/>
      <c r="O71" s="28"/>
      <c r="P71" s="28"/>
    </row>
    <row r="72" customFormat="false" ht="18" hidden="false" customHeight="true" outlineLevel="0" collapsed="false">
      <c r="A72" s="22" t="n">
        <v>65</v>
      </c>
      <c r="B72" s="23"/>
      <c r="C72" s="24"/>
      <c r="D72" s="24"/>
      <c r="E72" s="23"/>
      <c r="F72" s="23"/>
      <c r="G72" s="23"/>
      <c r="H72" s="24"/>
      <c r="I72" s="24"/>
      <c r="J72" s="24"/>
      <c r="K72" s="25"/>
      <c r="L72" s="26"/>
      <c r="M72" s="24"/>
      <c r="N72" s="24"/>
      <c r="O72" s="23"/>
      <c r="P72" s="23"/>
    </row>
    <row r="73" customFormat="false" ht="18" hidden="false" customHeight="true" outlineLevel="0" collapsed="false">
      <c r="A73" s="27" t="n">
        <v>66</v>
      </c>
      <c r="B73" s="28"/>
      <c r="C73" s="29"/>
      <c r="D73" s="29"/>
      <c r="E73" s="28"/>
      <c r="F73" s="28"/>
      <c r="G73" s="28"/>
      <c r="H73" s="29"/>
      <c r="I73" s="29"/>
      <c r="J73" s="29"/>
      <c r="K73" s="30"/>
      <c r="L73" s="31"/>
      <c r="M73" s="29"/>
      <c r="N73" s="29"/>
      <c r="O73" s="28"/>
      <c r="P73" s="28"/>
    </row>
    <row r="74" customFormat="false" ht="18" hidden="false" customHeight="true" outlineLevel="0" collapsed="false">
      <c r="A74" s="22" t="n">
        <v>67</v>
      </c>
      <c r="B74" s="23"/>
      <c r="C74" s="24"/>
      <c r="D74" s="24"/>
      <c r="E74" s="23"/>
      <c r="F74" s="23"/>
      <c r="G74" s="23"/>
      <c r="H74" s="24"/>
      <c r="I74" s="24"/>
      <c r="J74" s="24"/>
      <c r="K74" s="25"/>
      <c r="L74" s="26"/>
      <c r="M74" s="24"/>
      <c r="N74" s="24"/>
      <c r="O74" s="23"/>
      <c r="P74" s="23"/>
    </row>
    <row r="75" customFormat="false" ht="18" hidden="false" customHeight="true" outlineLevel="0" collapsed="false">
      <c r="A75" s="27" t="n">
        <v>68</v>
      </c>
      <c r="B75" s="28"/>
      <c r="C75" s="29"/>
      <c r="D75" s="29"/>
      <c r="E75" s="28"/>
      <c r="F75" s="28"/>
      <c r="G75" s="28"/>
      <c r="H75" s="29"/>
      <c r="I75" s="29"/>
      <c r="J75" s="29"/>
      <c r="K75" s="30"/>
      <c r="L75" s="31"/>
      <c r="M75" s="29"/>
      <c r="N75" s="29"/>
      <c r="O75" s="28"/>
      <c r="P75" s="28"/>
    </row>
    <row r="76" customFormat="false" ht="18" hidden="false" customHeight="true" outlineLevel="0" collapsed="false">
      <c r="A76" s="22" t="n">
        <v>69</v>
      </c>
      <c r="B76" s="23"/>
      <c r="C76" s="24"/>
      <c r="D76" s="24"/>
      <c r="E76" s="23"/>
      <c r="F76" s="23"/>
      <c r="G76" s="23"/>
      <c r="H76" s="24"/>
      <c r="I76" s="24"/>
      <c r="J76" s="24"/>
      <c r="K76" s="25"/>
      <c r="L76" s="26"/>
      <c r="M76" s="24"/>
      <c r="N76" s="24"/>
      <c r="O76" s="23"/>
      <c r="P76" s="23"/>
    </row>
    <row r="77" customFormat="false" ht="18" hidden="false" customHeight="true" outlineLevel="0" collapsed="false">
      <c r="A77" s="27" t="n">
        <v>70</v>
      </c>
      <c r="B77" s="28"/>
      <c r="C77" s="29"/>
      <c r="D77" s="29"/>
      <c r="E77" s="28"/>
      <c r="F77" s="28"/>
      <c r="G77" s="28"/>
      <c r="H77" s="29"/>
      <c r="I77" s="29"/>
      <c r="J77" s="29"/>
      <c r="K77" s="30"/>
      <c r="L77" s="31"/>
      <c r="M77" s="29"/>
      <c r="N77" s="29"/>
      <c r="O77" s="28"/>
      <c r="P77" s="28"/>
    </row>
    <row r="78" customFormat="false" ht="18" hidden="false" customHeight="true" outlineLevel="0" collapsed="false">
      <c r="A78" s="22" t="n">
        <v>71</v>
      </c>
      <c r="B78" s="23"/>
      <c r="C78" s="24"/>
      <c r="D78" s="24"/>
      <c r="E78" s="23"/>
      <c r="F78" s="23"/>
      <c r="G78" s="23"/>
      <c r="H78" s="24"/>
      <c r="I78" s="24"/>
      <c r="J78" s="24"/>
      <c r="K78" s="25"/>
      <c r="L78" s="26"/>
      <c r="M78" s="24"/>
      <c r="N78" s="24"/>
      <c r="O78" s="23"/>
      <c r="P78" s="23"/>
    </row>
    <row r="79" customFormat="false" ht="18" hidden="false" customHeight="true" outlineLevel="0" collapsed="false">
      <c r="A79" s="27" t="n">
        <v>72</v>
      </c>
      <c r="B79" s="28"/>
      <c r="C79" s="29"/>
      <c r="D79" s="29"/>
      <c r="E79" s="28"/>
      <c r="F79" s="28"/>
      <c r="G79" s="28"/>
      <c r="H79" s="29"/>
      <c r="I79" s="29"/>
      <c r="J79" s="29"/>
      <c r="K79" s="30"/>
      <c r="L79" s="31"/>
      <c r="M79" s="29"/>
      <c r="N79" s="29"/>
      <c r="O79" s="28"/>
      <c r="P79" s="28"/>
    </row>
    <row r="80" customFormat="false" ht="18" hidden="false" customHeight="true" outlineLevel="0" collapsed="false">
      <c r="A80" s="22" t="n">
        <v>73</v>
      </c>
      <c r="B80" s="23"/>
      <c r="C80" s="24"/>
      <c r="D80" s="24"/>
      <c r="E80" s="23"/>
      <c r="F80" s="23"/>
      <c r="G80" s="23"/>
      <c r="H80" s="24"/>
      <c r="I80" s="24"/>
      <c r="J80" s="24"/>
      <c r="K80" s="25"/>
      <c r="L80" s="26"/>
      <c r="M80" s="24"/>
      <c r="N80" s="24"/>
      <c r="O80" s="23"/>
      <c r="P80" s="23"/>
    </row>
    <row r="81" customFormat="false" ht="18" hidden="false" customHeight="true" outlineLevel="0" collapsed="false">
      <c r="A81" s="27" t="n">
        <v>74</v>
      </c>
      <c r="B81" s="28"/>
      <c r="C81" s="29"/>
      <c r="D81" s="29"/>
      <c r="E81" s="28"/>
      <c r="F81" s="28"/>
      <c r="G81" s="28"/>
      <c r="H81" s="29"/>
      <c r="I81" s="29"/>
      <c r="J81" s="29"/>
      <c r="K81" s="30"/>
      <c r="L81" s="31"/>
      <c r="M81" s="29"/>
      <c r="N81" s="29"/>
      <c r="O81" s="28"/>
      <c r="P81" s="28"/>
    </row>
    <row r="82" customFormat="false" ht="18" hidden="false" customHeight="true" outlineLevel="0" collapsed="false">
      <c r="A82" s="22" t="n">
        <v>75</v>
      </c>
      <c r="B82" s="23"/>
      <c r="C82" s="24"/>
      <c r="D82" s="24"/>
      <c r="E82" s="23"/>
      <c r="F82" s="23"/>
      <c r="G82" s="23"/>
      <c r="H82" s="24"/>
      <c r="I82" s="24"/>
      <c r="J82" s="24"/>
      <c r="K82" s="25"/>
      <c r="L82" s="26"/>
      <c r="M82" s="24"/>
      <c r="N82" s="24"/>
      <c r="O82" s="23"/>
      <c r="P82" s="23"/>
    </row>
    <row r="83" customFormat="false" ht="18" hidden="false" customHeight="true" outlineLevel="0" collapsed="false">
      <c r="A83" s="27" t="n">
        <v>76</v>
      </c>
      <c r="B83" s="28"/>
      <c r="C83" s="29"/>
      <c r="D83" s="29"/>
      <c r="E83" s="28"/>
      <c r="F83" s="28"/>
      <c r="G83" s="28"/>
      <c r="H83" s="29"/>
      <c r="I83" s="29"/>
      <c r="J83" s="29"/>
      <c r="K83" s="30"/>
      <c r="L83" s="31"/>
      <c r="M83" s="29"/>
      <c r="N83" s="29"/>
      <c r="O83" s="28"/>
      <c r="P83" s="28"/>
    </row>
    <row r="84" customFormat="false" ht="18" hidden="false" customHeight="true" outlineLevel="0" collapsed="false">
      <c r="A84" s="22" t="n">
        <v>77</v>
      </c>
      <c r="B84" s="23"/>
      <c r="C84" s="24"/>
      <c r="D84" s="24"/>
      <c r="E84" s="23"/>
      <c r="F84" s="23"/>
      <c r="G84" s="23"/>
      <c r="H84" s="24"/>
      <c r="I84" s="24"/>
      <c r="J84" s="24"/>
      <c r="K84" s="25"/>
      <c r="L84" s="26"/>
      <c r="M84" s="24"/>
      <c r="N84" s="24"/>
      <c r="O84" s="23"/>
      <c r="P84" s="23"/>
    </row>
    <row r="85" customFormat="false" ht="18" hidden="false" customHeight="true" outlineLevel="0" collapsed="false">
      <c r="A85" s="27" t="n">
        <v>78</v>
      </c>
      <c r="B85" s="28"/>
      <c r="C85" s="29"/>
      <c r="D85" s="29"/>
      <c r="E85" s="28"/>
      <c r="F85" s="28"/>
      <c r="G85" s="28"/>
      <c r="H85" s="29"/>
      <c r="I85" s="29"/>
      <c r="J85" s="29"/>
      <c r="K85" s="30"/>
      <c r="L85" s="31"/>
      <c r="M85" s="29"/>
      <c r="N85" s="29"/>
      <c r="O85" s="28"/>
      <c r="P85" s="28"/>
    </row>
    <row r="86" customFormat="false" ht="18" hidden="false" customHeight="true" outlineLevel="0" collapsed="false">
      <c r="A86" s="22" t="n">
        <v>79</v>
      </c>
      <c r="B86" s="23"/>
      <c r="C86" s="24"/>
      <c r="D86" s="24"/>
      <c r="E86" s="23"/>
      <c r="F86" s="23"/>
      <c r="G86" s="23"/>
      <c r="H86" s="24"/>
      <c r="I86" s="24"/>
      <c r="J86" s="24"/>
      <c r="K86" s="25"/>
      <c r="L86" s="26"/>
      <c r="M86" s="24"/>
      <c r="N86" s="24"/>
      <c r="O86" s="23"/>
      <c r="P86" s="23"/>
    </row>
    <row r="87" customFormat="false" ht="18" hidden="false" customHeight="true" outlineLevel="0" collapsed="false">
      <c r="A87" s="27" t="n">
        <v>80</v>
      </c>
      <c r="B87" s="28"/>
      <c r="C87" s="29"/>
      <c r="D87" s="29"/>
      <c r="E87" s="28"/>
      <c r="F87" s="28"/>
      <c r="G87" s="28"/>
      <c r="H87" s="29"/>
      <c r="I87" s="29"/>
      <c r="J87" s="29"/>
      <c r="K87" s="30"/>
      <c r="L87" s="31"/>
      <c r="M87" s="29"/>
      <c r="N87" s="29"/>
      <c r="O87" s="28"/>
      <c r="P87" s="28"/>
    </row>
    <row r="88" customFormat="false" ht="18" hidden="false" customHeight="true" outlineLevel="0" collapsed="false">
      <c r="A88" s="22" t="n">
        <v>81</v>
      </c>
      <c r="B88" s="23"/>
      <c r="C88" s="24"/>
      <c r="D88" s="24"/>
      <c r="E88" s="23"/>
      <c r="F88" s="23"/>
      <c r="G88" s="23"/>
      <c r="H88" s="24"/>
      <c r="I88" s="24"/>
      <c r="J88" s="24"/>
      <c r="K88" s="25"/>
      <c r="L88" s="26"/>
      <c r="M88" s="24"/>
      <c r="N88" s="24"/>
      <c r="O88" s="23"/>
      <c r="P88" s="23"/>
    </row>
    <row r="89" customFormat="false" ht="18" hidden="false" customHeight="true" outlineLevel="0" collapsed="false">
      <c r="A89" s="27" t="n">
        <v>82</v>
      </c>
      <c r="B89" s="28"/>
      <c r="C89" s="29"/>
      <c r="D89" s="29"/>
      <c r="E89" s="28"/>
      <c r="F89" s="28"/>
      <c r="G89" s="28"/>
      <c r="H89" s="29"/>
      <c r="I89" s="29"/>
      <c r="J89" s="29"/>
      <c r="K89" s="30"/>
      <c r="L89" s="31"/>
      <c r="M89" s="29"/>
      <c r="N89" s="29"/>
      <c r="O89" s="28"/>
      <c r="P89" s="28"/>
    </row>
    <row r="90" customFormat="false" ht="18" hidden="false" customHeight="true" outlineLevel="0" collapsed="false">
      <c r="A90" s="22" t="n">
        <v>83</v>
      </c>
      <c r="B90" s="23"/>
      <c r="C90" s="24"/>
      <c r="D90" s="24"/>
      <c r="E90" s="23"/>
      <c r="F90" s="23"/>
      <c r="G90" s="23"/>
      <c r="H90" s="24"/>
      <c r="I90" s="24"/>
      <c r="J90" s="24"/>
      <c r="K90" s="25"/>
      <c r="L90" s="26"/>
      <c r="M90" s="24"/>
      <c r="N90" s="24"/>
      <c r="O90" s="23"/>
      <c r="P90" s="23"/>
    </row>
    <row r="91" customFormat="false" ht="18" hidden="false" customHeight="true" outlineLevel="0" collapsed="false">
      <c r="A91" s="27" t="n">
        <v>84</v>
      </c>
      <c r="B91" s="28"/>
      <c r="C91" s="29"/>
      <c r="D91" s="29"/>
      <c r="E91" s="28"/>
      <c r="F91" s="28"/>
      <c r="G91" s="28"/>
      <c r="H91" s="29"/>
      <c r="I91" s="29"/>
      <c r="J91" s="29"/>
      <c r="K91" s="30"/>
      <c r="L91" s="31"/>
      <c r="M91" s="29"/>
      <c r="N91" s="29"/>
      <c r="O91" s="28"/>
      <c r="P91" s="28"/>
    </row>
    <row r="92" customFormat="false" ht="18" hidden="false" customHeight="true" outlineLevel="0" collapsed="false">
      <c r="A92" s="22" t="n">
        <v>85</v>
      </c>
      <c r="B92" s="23"/>
      <c r="C92" s="24"/>
      <c r="D92" s="24"/>
      <c r="E92" s="23"/>
      <c r="F92" s="23"/>
      <c r="G92" s="23"/>
      <c r="H92" s="24"/>
      <c r="I92" s="24"/>
      <c r="J92" s="24"/>
      <c r="K92" s="25"/>
      <c r="L92" s="26"/>
      <c r="M92" s="24"/>
      <c r="N92" s="24"/>
      <c r="O92" s="23"/>
      <c r="P92" s="23"/>
    </row>
    <row r="93" customFormat="false" ht="18" hidden="false" customHeight="true" outlineLevel="0" collapsed="false">
      <c r="A93" s="27" t="n">
        <v>86</v>
      </c>
      <c r="B93" s="28"/>
      <c r="C93" s="29"/>
      <c r="D93" s="29"/>
      <c r="E93" s="28"/>
      <c r="F93" s="28"/>
      <c r="G93" s="28"/>
      <c r="H93" s="29"/>
      <c r="I93" s="29"/>
      <c r="J93" s="29"/>
      <c r="K93" s="30"/>
      <c r="L93" s="31"/>
      <c r="M93" s="29"/>
      <c r="N93" s="29"/>
      <c r="O93" s="28"/>
      <c r="P93" s="28"/>
    </row>
    <row r="94" customFormat="false" ht="18" hidden="false" customHeight="true" outlineLevel="0" collapsed="false">
      <c r="A94" s="22" t="n">
        <v>87</v>
      </c>
      <c r="B94" s="23"/>
      <c r="C94" s="24"/>
      <c r="D94" s="24"/>
      <c r="E94" s="23"/>
      <c r="F94" s="23"/>
      <c r="G94" s="23"/>
      <c r="H94" s="24"/>
      <c r="I94" s="24"/>
      <c r="J94" s="24"/>
      <c r="K94" s="25"/>
      <c r="L94" s="26"/>
      <c r="M94" s="24"/>
      <c r="N94" s="24"/>
      <c r="O94" s="23"/>
      <c r="P94" s="23"/>
    </row>
    <row r="95" customFormat="false" ht="18" hidden="false" customHeight="true" outlineLevel="0" collapsed="false">
      <c r="A95" s="27" t="n">
        <v>88</v>
      </c>
      <c r="B95" s="28"/>
      <c r="C95" s="29"/>
      <c r="D95" s="29"/>
      <c r="E95" s="28"/>
      <c r="F95" s="28"/>
      <c r="G95" s="28"/>
      <c r="H95" s="29"/>
      <c r="I95" s="29"/>
      <c r="J95" s="29"/>
      <c r="K95" s="30"/>
      <c r="L95" s="31"/>
      <c r="M95" s="29"/>
      <c r="N95" s="29"/>
      <c r="O95" s="28"/>
      <c r="P95" s="28"/>
    </row>
    <row r="96" customFormat="false" ht="18" hidden="false" customHeight="true" outlineLevel="0" collapsed="false">
      <c r="A96" s="22" t="n">
        <v>89</v>
      </c>
      <c r="B96" s="23"/>
      <c r="C96" s="24"/>
      <c r="D96" s="24"/>
      <c r="E96" s="23"/>
      <c r="F96" s="23"/>
      <c r="G96" s="23"/>
      <c r="H96" s="24"/>
      <c r="I96" s="24"/>
      <c r="J96" s="24"/>
      <c r="K96" s="25"/>
      <c r="L96" s="26"/>
      <c r="M96" s="24"/>
      <c r="N96" s="24"/>
      <c r="O96" s="23"/>
      <c r="P96" s="23"/>
    </row>
    <row r="97" customFormat="false" ht="18" hidden="false" customHeight="true" outlineLevel="0" collapsed="false">
      <c r="A97" s="27" t="n">
        <v>90</v>
      </c>
      <c r="B97" s="28"/>
      <c r="C97" s="29"/>
      <c r="D97" s="29"/>
      <c r="E97" s="28"/>
      <c r="F97" s="28"/>
      <c r="G97" s="28"/>
      <c r="H97" s="29"/>
      <c r="I97" s="29"/>
      <c r="J97" s="29"/>
      <c r="K97" s="30"/>
      <c r="L97" s="31"/>
      <c r="M97" s="29"/>
      <c r="N97" s="29"/>
      <c r="O97" s="28"/>
      <c r="P97" s="28"/>
    </row>
    <row r="98" customFormat="false" ht="18" hidden="false" customHeight="true" outlineLevel="0" collapsed="false">
      <c r="A98" s="22" t="n">
        <v>91</v>
      </c>
      <c r="B98" s="23"/>
      <c r="C98" s="24"/>
      <c r="D98" s="24"/>
      <c r="E98" s="23"/>
      <c r="F98" s="23"/>
      <c r="G98" s="23"/>
      <c r="H98" s="24"/>
      <c r="I98" s="24"/>
      <c r="J98" s="24"/>
      <c r="K98" s="25"/>
      <c r="L98" s="26"/>
      <c r="M98" s="24"/>
      <c r="N98" s="24"/>
      <c r="O98" s="23"/>
      <c r="P98" s="23"/>
    </row>
    <row r="99" customFormat="false" ht="18" hidden="false" customHeight="true" outlineLevel="0" collapsed="false">
      <c r="A99" s="27" t="n">
        <v>92</v>
      </c>
      <c r="B99" s="28"/>
      <c r="C99" s="29"/>
      <c r="D99" s="29"/>
      <c r="E99" s="28"/>
      <c r="F99" s="28"/>
      <c r="G99" s="28"/>
      <c r="H99" s="29"/>
      <c r="I99" s="29"/>
      <c r="J99" s="29"/>
      <c r="K99" s="30"/>
      <c r="L99" s="31"/>
      <c r="M99" s="29"/>
      <c r="N99" s="29"/>
      <c r="O99" s="28"/>
      <c r="P99" s="28"/>
    </row>
    <row r="100" customFormat="false" ht="18" hidden="false" customHeight="true" outlineLevel="0" collapsed="false">
      <c r="A100" s="22" t="n">
        <v>93</v>
      </c>
      <c r="B100" s="23"/>
      <c r="C100" s="24"/>
      <c r="D100" s="24"/>
      <c r="E100" s="23"/>
      <c r="F100" s="23"/>
      <c r="G100" s="23"/>
      <c r="H100" s="24"/>
      <c r="I100" s="24"/>
      <c r="J100" s="24"/>
      <c r="K100" s="25"/>
      <c r="L100" s="26"/>
      <c r="M100" s="24"/>
      <c r="N100" s="24"/>
      <c r="O100" s="23"/>
      <c r="P100" s="23"/>
    </row>
    <row r="101" customFormat="false" ht="18" hidden="false" customHeight="true" outlineLevel="0" collapsed="false">
      <c r="A101" s="27" t="n">
        <v>94</v>
      </c>
      <c r="B101" s="28"/>
      <c r="C101" s="29"/>
      <c r="D101" s="29"/>
      <c r="E101" s="28"/>
      <c r="F101" s="28"/>
      <c r="G101" s="28"/>
      <c r="H101" s="29"/>
      <c r="I101" s="29"/>
      <c r="J101" s="29"/>
      <c r="K101" s="30"/>
      <c r="L101" s="31"/>
      <c r="M101" s="29"/>
      <c r="N101" s="29"/>
      <c r="O101" s="28"/>
      <c r="P101" s="28"/>
    </row>
    <row r="102" customFormat="false" ht="18" hidden="false" customHeight="true" outlineLevel="0" collapsed="false">
      <c r="A102" s="22" t="n">
        <v>95</v>
      </c>
      <c r="B102" s="23"/>
      <c r="C102" s="24"/>
      <c r="D102" s="24"/>
      <c r="E102" s="23"/>
      <c r="F102" s="23"/>
      <c r="G102" s="23"/>
      <c r="H102" s="24"/>
      <c r="I102" s="24"/>
      <c r="J102" s="24"/>
      <c r="K102" s="25"/>
      <c r="L102" s="26"/>
      <c r="M102" s="24"/>
      <c r="N102" s="24"/>
      <c r="O102" s="23"/>
      <c r="P102" s="23"/>
    </row>
    <row r="103" customFormat="false" ht="18" hidden="false" customHeight="true" outlineLevel="0" collapsed="false">
      <c r="A103" s="27" t="n">
        <v>96</v>
      </c>
      <c r="B103" s="28"/>
      <c r="C103" s="29"/>
      <c r="D103" s="29"/>
      <c r="E103" s="28"/>
      <c r="F103" s="28"/>
      <c r="G103" s="28"/>
      <c r="H103" s="29"/>
      <c r="I103" s="29"/>
      <c r="J103" s="29"/>
      <c r="K103" s="30"/>
      <c r="L103" s="31"/>
      <c r="M103" s="29"/>
      <c r="N103" s="29"/>
      <c r="O103" s="28"/>
      <c r="P103" s="28"/>
    </row>
    <row r="104" customFormat="false" ht="18" hidden="false" customHeight="true" outlineLevel="0" collapsed="false">
      <c r="A104" s="22" t="n">
        <v>97</v>
      </c>
      <c r="B104" s="23"/>
      <c r="C104" s="24"/>
      <c r="D104" s="24"/>
      <c r="E104" s="23"/>
      <c r="F104" s="23"/>
      <c r="G104" s="23"/>
      <c r="H104" s="24"/>
      <c r="I104" s="24"/>
      <c r="J104" s="24"/>
      <c r="K104" s="25"/>
      <c r="L104" s="26"/>
      <c r="M104" s="24"/>
      <c r="N104" s="24"/>
      <c r="O104" s="23"/>
      <c r="P104" s="23"/>
    </row>
    <row r="105" customFormat="false" ht="18" hidden="false" customHeight="true" outlineLevel="0" collapsed="false">
      <c r="A105" s="27" t="n">
        <v>98</v>
      </c>
      <c r="B105" s="28"/>
      <c r="C105" s="29"/>
      <c r="D105" s="29"/>
      <c r="E105" s="28"/>
      <c r="F105" s="28"/>
      <c r="G105" s="28"/>
      <c r="H105" s="29"/>
      <c r="I105" s="29"/>
      <c r="J105" s="29"/>
      <c r="K105" s="30"/>
      <c r="L105" s="31"/>
      <c r="M105" s="29"/>
      <c r="N105" s="29"/>
      <c r="O105" s="28"/>
      <c r="P105" s="28"/>
    </row>
    <row r="106" customFormat="false" ht="18" hidden="false" customHeight="true" outlineLevel="0" collapsed="false">
      <c r="A106" s="22" t="n">
        <v>99</v>
      </c>
      <c r="B106" s="23"/>
      <c r="C106" s="24"/>
      <c r="D106" s="24"/>
      <c r="E106" s="23"/>
      <c r="F106" s="23"/>
      <c r="G106" s="23"/>
      <c r="H106" s="24"/>
      <c r="I106" s="24"/>
      <c r="J106" s="24"/>
      <c r="K106" s="25"/>
      <c r="L106" s="26"/>
      <c r="M106" s="24"/>
      <c r="N106" s="24"/>
      <c r="O106" s="23"/>
      <c r="P106" s="23"/>
    </row>
    <row r="107" customFormat="false" ht="18" hidden="false" customHeight="true" outlineLevel="0" collapsed="false">
      <c r="A107" s="27" t="n">
        <v>100</v>
      </c>
      <c r="B107" s="28"/>
      <c r="C107" s="29"/>
      <c r="D107" s="29"/>
      <c r="E107" s="28"/>
      <c r="F107" s="28"/>
      <c r="G107" s="28"/>
      <c r="H107" s="29"/>
      <c r="I107" s="29"/>
      <c r="J107" s="29"/>
      <c r="K107" s="30"/>
      <c r="L107" s="31"/>
      <c r="M107" s="29"/>
      <c r="N107" s="29"/>
      <c r="O107" s="28"/>
      <c r="P107" s="28"/>
    </row>
    <row r="108" customFormat="false" ht="19.5" hidden="false" customHeight="true" outlineLevel="0" collapsed="false">
      <c r="A108" s="32" t="s">
        <v>33</v>
      </c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10" customFormat="false" ht="21.75" hidden="false" customHeight="true" outlineLevel="0" collapsed="false">
      <c r="A110" s="33" t="s">
        <v>34</v>
      </c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</sheetData>
  <sheetProtection sheet="true" password="df0a"/>
  <mergeCells count="8">
    <mergeCell ref="A1:P1"/>
    <mergeCell ref="A5:B5"/>
    <mergeCell ref="C5:D5"/>
    <mergeCell ref="E5:G5"/>
    <mergeCell ref="H5:J5"/>
    <mergeCell ref="K5:M5"/>
    <mergeCell ref="A108:P108"/>
    <mergeCell ref="A110:P110"/>
  </mergeCells>
  <conditionalFormatting sqref="N8:N107">
    <cfRule type="cellIs" priority="2" operator="equal" aboveAverage="0" equalAverage="0" bottom="0" percent="0" rank="0" text="" dxfId="0">
      <formula>"Active"</formula>
    </cfRule>
    <cfRule type="cellIs" priority="3" operator="equal" aboveAverage="0" equalAverage="0" bottom="0" percent="0" rank="0" text="" dxfId="1">
      <formula>"Inactive"</formula>
    </cfRule>
    <cfRule type="cellIs" priority="4" operator="equal" aboveAverage="0" equalAverage="0" bottom="0" percent="0" rank="0" text="" dxfId="2">
      <formula>"Do Not Use"</formula>
    </cfRule>
    <cfRule type="cellIs" priority="5" operator="equal" aboveAverage="0" equalAverage="0" bottom="0" percent="0" rank="0" text="" dxfId="3">
      <formula>"Pending Approval"</formula>
    </cfRule>
  </conditionalFormatting>
  <conditionalFormatting sqref="L8:L107">
    <cfRule type="cellIs" priority="6" operator="greaterThanOrEqual" aboveAverage="0" equalAverage="0" bottom="0" percent="0" rank="0" text="" dxfId="0">
      <formula>4</formula>
    </cfRule>
    <cfRule type="cellIs" priority="7" operator="equal" aboveAverage="0" equalAverage="0" bottom="0" percent="0" rank="0" text="" dxfId="3">
      <formula>3</formula>
    </cfRule>
    <cfRule type="cellIs" priority="8" operator="lessThanOrEqual" aboveAverage="0" equalAverage="0" bottom="0" percent="0" rank="0" text="" dxfId="2">
      <formula>2</formula>
    </cfRule>
  </conditionalFormatting>
  <dataValidations count="5">
    <dataValidation allowBlank="true" errorStyle="stop" operator="between" showDropDown="false" showErrorMessage="true" showInputMessage="false" sqref="C8:C107" type="list">
      <formula1>"Subcontractor,Vendor,Supplier,Equipment,Labor"</formula1>
      <formula2>0</formula2>
    </dataValidation>
    <dataValidation allowBlank="true" errorStyle="stop" operator="between" showDropDown="false" showErrorMessage="true" showInputMessage="false" sqref="D8:D107" type="list">
      <formula1>"Electrical,Plumbing,HVAC,Framing,Concrete,Roofing,Drywall,Painting,Tile,Flooring,Cabinets,Landscaping,Excavation,Steel,Masonry,Insulation,Low Voltage,Other"</formula1>
      <formula2>0</formula2>
    </dataValidation>
    <dataValidation allowBlank="true" errorStyle="stop" operator="between" showDropDown="false" showErrorMessage="true" showInputMessage="false" sqref="J8:J107" type="list">
      <formula1>"LLC,Corp,Sole Prop,Partnership,Other"</formula1>
      <formula2>0</formula2>
    </dataValidation>
    <dataValidation allowBlank="true" errorStyle="stop" operator="between" showDropDown="false" showErrorMessage="true" showInputMessage="false" sqref="M8:M107" type="list">
      <formula1>"Check,ACH,Wire,Credit Card,Zelle,Cash,Other"</formula1>
      <formula2>0</formula2>
    </dataValidation>
    <dataValidation allowBlank="true" errorStyle="stop" operator="between" showDropDown="false" showErrorMessage="true" showInputMessage="false" sqref="N8:N107" type="list">
      <formula1>"Active,Inactive,Do Not Use,Pending Approval"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S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7" min="15" style="0" width="13"/>
    <col collapsed="false" customWidth="true" hidden="false" outlineLevel="0" max="18" min="18" style="0" width="11"/>
    <col collapsed="false" customWidth="true" hidden="false" outlineLevel="0" max="19" min="19" style="0" width="24"/>
  </cols>
  <sheetData>
    <row r="1" customFormat="false" ht="36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9.5" hidden="false" customHeight="true" outlineLevel="0" collapsed="false">
      <c r="A2" s="2" t="s">
        <v>1</v>
      </c>
      <c r="B2" s="3"/>
      <c r="D2" s="2" t="s">
        <v>3</v>
      </c>
      <c r="E2" s="3"/>
      <c r="I2" s="2" t="s">
        <v>36</v>
      </c>
      <c r="K2" s="34" t="n">
        <f aca="false">SUM(M8:M57)</f>
        <v>0</v>
      </c>
    </row>
    <row r="3" customFormat="false" ht="19.5" hidden="false" customHeight="true" outlineLevel="0" collapsed="false">
      <c r="A3" s="35" t="s">
        <v>37</v>
      </c>
      <c r="B3" s="77" t="n">
        <f aca="true">TODAY()</f>
        <v>46111</v>
      </c>
    </row>
    <row r="5" customFormat="false" ht="15.75" hidden="false" customHeight="true" outlineLevel="0" collapsed="false">
      <c r="A5" s="12" t="s">
        <v>38</v>
      </c>
      <c r="B5" s="12"/>
      <c r="C5" s="12"/>
      <c r="D5" s="13" t="s">
        <v>39</v>
      </c>
      <c r="E5" s="13"/>
      <c r="F5" s="13"/>
      <c r="G5" s="13"/>
      <c r="H5" s="15" t="s">
        <v>40</v>
      </c>
      <c r="I5" s="15"/>
      <c r="J5" s="15"/>
      <c r="K5" s="14" t="s">
        <v>41</v>
      </c>
      <c r="L5" s="14"/>
      <c r="M5" s="14"/>
      <c r="N5" s="14"/>
      <c r="O5" s="13" t="s">
        <v>42</v>
      </c>
      <c r="P5" s="13"/>
      <c r="Q5" s="13"/>
      <c r="R5" s="37" t="s">
        <v>43</v>
      </c>
      <c r="S5" s="17" t="s">
        <v>16</v>
      </c>
    </row>
    <row r="6" customFormat="false" ht="30" hidden="false" customHeight="true" outlineLevel="0" collapsed="false">
      <c r="A6" s="18" t="s">
        <v>17</v>
      </c>
      <c r="B6" s="18" t="s">
        <v>18</v>
      </c>
      <c r="C6" s="18" t="s">
        <v>44</v>
      </c>
      <c r="D6" s="19" t="s">
        <v>45</v>
      </c>
      <c r="E6" s="19" t="s">
        <v>46</v>
      </c>
      <c r="F6" s="19" t="s">
        <v>47</v>
      </c>
      <c r="G6" s="19" t="s">
        <v>48</v>
      </c>
      <c r="H6" s="21" t="s">
        <v>49</v>
      </c>
      <c r="I6" s="21" t="s">
        <v>50</v>
      </c>
      <c r="J6" s="21" t="s">
        <v>51</v>
      </c>
      <c r="K6" s="20" t="s">
        <v>52</v>
      </c>
      <c r="L6" s="20" t="s">
        <v>53</v>
      </c>
      <c r="M6" s="20" t="s">
        <v>54</v>
      </c>
      <c r="N6" s="20" t="s">
        <v>55</v>
      </c>
      <c r="O6" s="19" t="s">
        <v>56</v>
      </c>
      <c r="P6" s="19" t="s">
        <v>57</v>
      </c>
      <c r="Q6" s="19" t="s">
        <v>58</v>
      </c>
      <c r="R6" s="21" t="s">
        <v>59</v>
      </c>
      <c r="S6" s="20" t="s">
        <v>60</v>
      </c>
    </row>
    <row r="8" customFormat="false" ht="18" hidden="false" customHeight="true" outlineLevel="0" collapsed="false">
      <c r="A8" s="22" t="n">
        <v>1</v>
      </c>
      <c r="B8" s="23"/>
      <c r="C8" s="24"/>
      <c r="D8" s="24"/>
      <c r="E8" s="25"/>
      <c r="F8" s="38"/>
      <c r="G8" s="23"/>
      <c r="H8" s="24"/>
      <c r="I8" s="39"/>
      <c r="J8" s="40"/>
      <c r="K8" s="40"/>
      <c r="L8" s="40"/>
      <c r="M8" s="41" t="str">
        <f aca="false">IF(K8&lt;&gt;"",K8-L8,"")</f>
        <v/>
      </c>
      <c r="N8" s="25"/>
      <c r="O8" s="42"/>
      <c r="P8" s="42"/>
      <c r="Q8" s="43" t="str">
        <f aca="false">IF(P8&lt;&gt;"",$B$3-P8,"")</f>
        <v/>
      </c>
      <c r="R8" s="39"/>
      <c r="S8" s="23"/>
    </row>
    <row r="9" customFormat="false" ht="18" hidden="false" customHeight="true" outlineLevel="0" collapsed="false">
      <c r="A9" s="27" t="n">
        <v>2</v>
      </c>
      <c r="B9" s="28"/>
      <c r="C9" s="29"/>
      <c r="D9" s="29"/>
      <c r="E9" s="30"/>
      <c r="F9" s="44"/>
      <c r="G9" s="28"/>
      <c r="H9" s="29"/>
      <c r="I9" s="45"/>
      <c r="J9" s="46"/>
      <c r="K9" s="46"/>
      <c r="L9" s="46"/>
      <c r="M9" s="41" t="str">
        <f aca="false">IF(K9&lt;&gt;"",K9-L9,"")</f>
        <v/>
      </c>
      <c r="N9" s="30"/>
      <c r="O9" s="47"/>
      <c r="P9" s="47"/>
      <c r="Q9" s="43" t="str">
        <f aca="false">IF(P9&lt;&gt;"",$B$3-P9,"")</f>
        <v/>
      </c>
      <c r="R9" s="45"/>
      <c r="S9" s="28"/>
    </row>
    <row r="10" customFormat="false" ht="18" hidden="false" customHeight="true" outlineLevel="0" collapsed="false">
      <c r="A10" s="22" t="n">
        <v>3</v>
      </c>
      <c r="B10" s="23"/>
      <c r="C10" s="24"/>
      <c r="D10" s="24"/>
      <c r="E10" s="25"/>
      <c r="F10" s="38"/>
      <c r="G10" s="23"/>
      <c r="H10" s="24"/>
      <c r="I10" s="39"/>
      <c r="J10" s="40"/>
      <c r="K10" s="40"/>
      <c r="L10" s="40"/>
      <c r="M10" s="41" t="str">
        <f aca="false">IF(K10&lt;&gt;"",K10-L10,"")</f>
        <v/>
      </c>
      <c r="N10" s="25"/>
      <c r="O10" s="42"/>
      <c r="P10" s="42"/>
      <c r="Q10" s="43" t="str">
        <f aca="false">IF(P10&lt;&gt;"",$B$3-P10,"")</f>
        <v/>
      </c>
      <c r="R10" s="39"/>
      <c r="S10" s="23"/>
    </row>
    <row r="11" customFormat="false" ht="18" hidden="false" customHeight="true" outlineLevel="0" collapsed="false">
      <c r="A11" s="27" t="n">
        <v>4</v>
      </c>
      <c r="B11" s="28"/>
      <c r="C11" s="29"/>
      <c r="D11" s="29"/>
      <c r="E11" s="30"/>
      <c r="F11" s="44"/>
      <c r="G11" s="28"/>
      <c r="H11" s="29"/>
      <c r="I11" s="45"/>
      <c r="J11" s="46"/>
      <c r="K11" s="46"/>
      <c r="L11" s="46"/>
      <c r="M11" s="41" t="str">
        <f aca="false">IF(K11&lt;&gt;"",K11-L11,"")</f>
        <v/>
      </c>
      <c r="N11" s="30"/>
      <c r="O11" s="47"/>
      <c r="P11" s="47"/>
      <c r="Q11" s="43" t="str">
        <f aca="false">IF(P11&lt;&gt;"",$B$3-P11,"")</f>
        <v/>
      </c>
      <c r="R11" s="45"/>
      <c r="S11" s="28"/>
    </row>
    <row r="12" customFormat="false" ht="18" hidden="false" customHeight="true" outlineLevel="0" collapsed="false">
      <c r="A12" s="22" t="n">
        <v>5</v>
      </c>
      <c r="B12" s="23"/>
      <c r="C12" s="24"/>
      <c r="D12" s="24"/>
      <c r="E12" s="25"/>
      <c r="F12" s="38"/>
      <c r="G12" s="23"/>
      <c r="H12" s="24"/>
      <c r="I12" s="39"/>
      <c r="J12" s="40"/>
      <c r="K12" s="40"/>
      <c r="L12" s="40"/>
      <c r="M12" s="41" t="str">
        <f aca="false">IF(K12&lt;&gt;"",K12-L12,"")</f>
        <v/>
      </c>
      <c r="N12" s="25"/>
      <c r="O12" s="42"/>
      <c r="P12" s="42"/>
      <c r="Q12" s="43" t="str">
        <f aca="false">IF(P12&lt;&gt;"",$B$3-P12,"")</f>
        <v/>
      </c>
      <c r="R12" s="39"/>
      <c r="S12" s="23"/>
    </row>
    <row r="13" customFormat="false" ht="18" hidden="false" customHeight="true" outlineLevel="0" collapsed="false">
      <c r="A13" s="27" t="n">
        <v>6</v>
      </c>
      <c r="B13" s="28"/>
      <c r="C13" s="29"/>
      <c r="D13" s="29"/>
      <c r="E13" s="30"/>
      <c r="F13" s="44"/>
      <c r="G13" s="28"/>
      <c r="H13" s="29"/>
      <c r="I13" s="45"/>
      <c r="J13" s="46"/>
      <c r="K13" s="46"/>
      <c r="L13" s="46"/>
      <c r="M13" s="41" t="str">
        <f aca="false">IF(K13&lt;&gt;"",K13-L13,"")</f>
        <v/>
      </c>
      <c r="N13" s="30"/>
      <c r="O13" s="47"/>
      <c r="P13" s="47"/>
      <c r="Q13" s="43" t="str">
        <f aca="false">IF(P13&lt;&gt;"",$B$3-P13,"")</f>
        <v/>
      </c>
      <c r="R13" s="45"/>
      <c r="S13" s="28"/>
    </row>
    <row r="14" customFormat="false" ht="18" hidden="false" customHeight="true" outlineLevel="0" collapsed="false">
      <c r="A14" s="22" t="n">
        <v>7</v>
      </c>
      <c r="B14" s="23"/>
      <c r="C14" s="24"/>
      <c r="D14" s="24"/>
      <c r="E14" s="25"/>
      <c r="F14" s="38"/>
      <c r="G14" s="23"/>
      <c r="H14" s="24"/>
      <c r="I14" s="39"/>
      <c r="J14" s="40"/>
      <c r="K14" s="40"/>
      <c r="L14" s="40"/>
      <c r="M14" s="41" t="str">
        <f aca="false">IF(K14&lt;&gt;"",K14-L14,"")</f>
        <v/>
      </c>
      <c r="N14" s="25"/>
      <c r="O14" s="42"/>
      <c r="P14" s="42"/>
      <c r="Q14" s="43" t="str">
        <f aca="false">IF(P14&lt;&gt;"",$B$3-P14,"")</f>
        <v/>
      </c>
      <c r="R14" s="39"/>
      <c r="S14" s="23"/>
    </row>
    <row r="15" customFormat="false" ht="18" hidden="false" customHeight="true" outlineLevel="0" collapsed="false">
      <c r="A15" s="27" t="n">
        <v>8</v>
      </c>
      <c r="B15" s="28"/>
      <c r="C15" s="29"/>
      <c r="D15" s="29"/>
      <c r="E15" s="30"/>
      <c r="F15" s="44"/>
      <c r="G15" s="28"/>
      <c r="H15" s="29"/>
      <c r="I15" s="45"/>
      <c r="J15" s="46"/>
      <c r="K15" s="46"/>
      <c r="L15" s="46"/>
      <c r="M15" s="41" t="str">
        <f aca="false">IF(K15&lt;&gt;"",K15-L15,"")</f>
        <v/>
      </c>
      <c r="N15" s="30"/>
      <c r="O15" s="47"/>
      <c r="P15" s="47"/>
      <c r="Q15" s="43" t="str">
        <f aca="false">IF(P15&lt;&gt;"",$B$3-P15,"")</f>
        <v/>
      </c>
      <c r="R15" s="45"/>
      <c r="S15" s="28"/>
    </row>
    <row r="16" customFormat="false" ht="18" hidden="false" customHeight="true" outlineLevel="0" collapsed="false">
      <c r="A16" s="22" t="n">
        <v>9</v>
      </c>
      <c r="B16" s="23"/>
      <c r="C16" s="24"/>
      <c r="D16" s="24"/>
      <c r="E16" s="25"/>
      <c r="F16" s="38"/>
      <c r="G16" s="23"/>
      <c r="H16" s="24"/>
      <c r="I16" s="39"/>
      <c r="J16" s="40"/>
      <c r="K16" s="40"/>
      <c r="L16" s="40"/>
      <c r="M16" s="41" t="str">
        <f aca="false">IF(K16&lt;&gt;"",K16-L16,"")</f>
        <v/>
      </c>
      <c r="N16" s="25"/>
      <c r="O16" s="42"/>
      <c r="P16" s="42"/>
      <c r="Q16" s="43" t="str">
        <f aca="false">IF(P16&lt;&gt;"",$B$3-P16,"")</f>
        <v/>
      </c>
      <c r="R16" s="39"/>
      <c r="S16" s="23"/>
    </row>
    <row r="17" customFormat="false" ht="18" hidden="false" customHeight="true" outlineLevel="0" collapsed="false">
      <c r="A17" s="27" t="n">
        <v>10</v>
      </c>
      <c r="B17" s="28"/>
      <c r="C17" s="29"/>
      <c r="D17" s="29"/>
      <c r="E17" s="30"/>
      <c r="F17" s="44"/>
      <c r="G17" s="28"/>
      <c r="H17" s="29"/>
      <c r="I17" s="45"/>
      <c r="J17" s="46"/>
      <c r="K17" s="46"/>
      <c r="L17" s="46"/>
      <c r="M17" s="41" t="str">
        <f aca="false">IF(K17&lt;&gt;"",K17-L17,"")</f>
        <v/>
      </c>
      <c r="N17" s="30"/>
      <c r="O17" s="47"/>
      <c r="P17" s="47"/>
      <c r="Q17" s="43" t="str">
        <f aca="false">IF(P17&lt;&gt;"",$B$3-P17,"")</f>
        <v/>
      </c>
      <c r="R17" s="45"/>
      <c r="S17" s="28"/>
    </row>
    <row r="18" customFormat="false" ht="18" hidden="false" customHeight="true" outlineLevel="0" collapsed="false">
      <c r="A18" s="22" t="n">
        <v>11</v>
      </c>
      <c r="B18" s="23"/>
      <c r="C18" s="24"/>
      <c r="D18" s="24"/>
      <c r="E18" s="25"/>
      <c r="F18" s="38"/>
      <c r="G18" s="23"/>
      <c r="H18" s="24"/>
      <c r="I18" s="39"/>
      <c r="J18" s="40"/>
      <c r="K18" s="40"/>
      <c r="L18" s="40"/>
      <c r="M18" s="41" t="str">
        <f aca="false">IF(K18&lt;&gt;"",K18-L18,"")</f>
        <v/>
      </c>
      <c r="N18" s="25"/>
      <c r="O18" s="42"/>
      <c r="P18" s="42"/>
      <c r="Q18" s="43" t="str">
        <f aca="false">IF(P18&lt;&gt;"",$B$3-P18,"")</f>
        <v/>
      </c>
      <c r="R18" s="39"/>
      <c r="S18" s="23"/>
    </row>
    <row r="19" customFormat="false" ht="18" hidden="false" customHeight="true" outlineLevel="0" collapsed="false">
      <c r="A19" s="27" t="n">
        <v>12</v>
      </c>
      <c r="B19" s="28"/>
      <c r="C19" s="29"/>
      <c r="D19" s="29"/>
      <c r="E19" s="30"/>
      <c r="F19" s="44"/>
      <c r="G19" s="28"/>
      <c r="H19" s="29"/>
      <c r="I19" s="45"/>
      <c r="J19" s="46"/>
      <c r="K19" s="46"/>
      <c r="L19" s="46"/>
      <c r="M19" s="41" t="str">
        <f aca="false">IF(K19&lt;&gt;"",K19-L19,"")</f>
        <v/>
      </c>
      <c r="N19" s="30"/>
      <c r="O19" s="47"/>
      <c r="P19" s="47"/>
      <c r="Q19" s="43" t="str">
        <f aca="false">IF(P19&lt;&gt;"",$B$3-P19,"")</f>
        <v/>
      </c>
      <c r="R19" s="45"/>
      <c r="S19" s="28"/>
    </row>
    <row r="20" customFormat="false" ht="18" hidden="false" customHeight="true" outlineLevel="0" collapsed="false">
      <c r="A20" s="22" t="n">
        <v>13</v>
      </c>
      <c r="B20" s="23"/>
      <c r="C20" s="24"/>
      <c r="D20" s="24"/>
      <c r="E20" s="25"/>
      <c r="F20" s="38"/>
      <c r="G20" s="23"/>
      <c r="H20" s="24"/>
      <c r="I20" s="39"/>
      <c r="J20" s="40"/>
      <c r="K20" s="40"/>
      <c r="L20" s="40"/>
      <c r="M20" s="41" t="str">
        <f aca="false">IF(K20&lt;&gt;"",K20-L20,"")</f>
        <v/>
      </c>
      <c r="N20" s="25"/>
      <c r="O20" s="42"/>
      <c r="P20" s="42"/>
      <c r="Q20" s="43" t="str">
        <f aca="false">IF(P20&lt;&gt;"",$B$3-P20,"")</f>
        <v/>
      </c>
      <c r="R20" s="39"/>
      <c r="S20" s="23"/>
    </row>
    <row r="21" customFormat="false" ht="18" hidden="false" customHeight="true" outlineLevel="0" collapsed="false">
      <c r="A21" s="27" t="n">
        <v>14</v>
      </c>
      <c r="B21" s="28"/>
      <c r="C21" s="29"/>
      <c r="D21" s="29"/>
      <c r="E21" s="30"/>
      <c r="F21" s="44"/>
      <c r="G21" s="28"/>
      <c r="H21" s="29"/>
      <c r="I21" s="45"/>
      <c r="J21" s="46"/>
      <c r="K21" s="46"/>
      <c r="L21" s="46"/>
      <c r="M21" s="41" t="str">
        <f aca="false">IF(K21&lt;&gt;"",K21-L21,"")</f>
        <v/>
      </c>
      <c r="N21" s="30"/>
      <c r="O21" s="47"/>
      <c r="P21" s="47"/>
      <c r="Q21" s="43" t="str">
        <f aca="false">IF(P21&lt;&gt;"",$B$3-P21,"")</f>
        <v/>
      </c>
      <c r="R21" s="45"/>
      <c r="S21" s="28"/>
    </row>
    <row r="22" customFormat="false" ht="18" hidden="false" customHeight="true" outlineLevel="0" collapsed="false">
      <c r="A22" s="22" t="n">
        <v>15</v>
      </c>
      <c r="B22" s="23"/>
      <c r="C22" s="24"/>
      <c r="D22" s="24"/>
      <c r="E22" s="25"/>
      <c r="F22" s="38"/>
      <c r="G22" s="23"/>
      <c r="H22" s="24"/>
      <c r="I22" s="39"/>
      <c r="J22" s="40"/>
      <c r="K22" s="40"/>
      <c r="L22" s="40"/>
      <c r="M22" s="41" t="str">
        <f aca="false">IF(K22&lt;&gt;"",K22-L22,"")</f>
        <v/>
      </c>
      <c r="N22" s="25"/>
      <c r="O22" s="42"/>
      <c r="P22" s="42"/>
      <c r="Q22" s="43" t="str">
        <f aca="false">IF(P22&lt;&gt;"",$B$3-P22,"")</f>
        <v/>
      </c>
      <c r="R22" s="39"/>
      <c r="S22" s="23"/>
    </row>
    <row r="23" customFormat="false" ht="18" hidden="false" customHeight="true" outlineLevel="0" collapsed="false">
      <c r="A23" s="27" t="n">
        <v>16</v>
      </c>
      <c r="B23" s="28"/>
      <c r="C23" s="29"/>
      <c r="D23" s="29"/>
      <c r="E23" s="30"/>
      <c r="F23" s="44"/>
      <c r="G23" s="28"/>
      <c r="H23" s="29"/>
      <c r="I23" s="45"/>
      <c r="J23" s="46"/>
      <c r="K23" s="46"/>
      <c r="L23" s="46"/>
      <c r="M23" s="41" t="str">
        <f aca="false">IF(K23&lt;&gt;"",K23-L23,"")</f>
        <v/>
      </c>
      <c r="N23" s="30"/>
      <c r="O23" s="47"/>
      <c r="P23" s="47"/>
      <c r="Q23" s="43" t="str">
        <f aca="false">IF(P23&lt;&gt;"",$B$3-P23,"")</f>
        <v/>
      </c>
      <c r="R23" s="45"/>
      <c r="S23" s="28"/>
    </row>
    <row r="24" customFormat="false" ht="18" hidden="false" customHeight="true" outlineLevel="0" collapsed="false">
      <c r="A24" s="22" t="n">
        <v>17</v>
      </c>
      <c r="B24" s="23"/>
      <c r="C24" s="24"/>
      <c r="D24" s="24"/>
      <c r="E24" s="25"/>
      <c r="F24" s="38"/>
      <c r="G24" s="23"/>
      <c r="H24" s="24"/>
      <c r="I24" s="39"/>
      <c r="J24" s="40"/>
      <c r="K24" s="40"/>
      <c r="L24" s="40"/>
      <c r="M24" s="41" t="str">
        <f aca="false">IF(K24&lt;&gt;"",K24-L24,"")</f>
        <v/>
      </c>
      <c r="N24" s="25"/>
      <c r="O24" s="42"/>
      <c r="P24" s="42"/>
      <c r="Q24" s="43" t="str">
        <f aca="false">IF(P24&lt;&gt;"",$B$3-P24,"")</f>
        <v/>
      </c>
      <c r="R24" s="39"/>
      <c r="S24" s="23"/>
    </row>
    <row r="25" customFormat="false" ht="18" hidden="false" customHeight="true" outlineLevel="0" collapsed="false">
      <c r="A25" s="27" t="n">
        <v>18</v>
      </c>
      <c r="B25" s="28"/>
      <c r="C25" s="29"/>
      <c r="D25" s="29"/>
      <c r="E25" s="30"/>
      <c r="F25" s="44"/>
      <c r="G25" s="28"/>
      <c r="H25" s="29"/>
      <c r="I25" s="45"/>
      <c r="J25" s="46"/>
      <c r="K25" s="46"/>
      <c r="L25" s="46"/>
      <c r="M25" s="41" t="str">
        <f aca="false">IF(K25&lt;&gt;"",K25-L25,"")</f>
        <v/>
      </c>
      <c r="N25" s="30"/>
      <c r="O25" s="47"/>
      <c r="P25" s="47"/>
      <c r="Q25" s="43" t="str">
        <f aca="false">IF(P25&lt;&gt;"",$B$3-P25,"")</f>
        <v/>
      </c>
      <c r="R25" s="45"/>
      <c r="S25" s="28"/>
    </row>
    <row r="26" customFormat="false" ht="18" hidden="false" customHeight="true" outlineLevel="0" collapsed="false">
      <c r="A26" s="22" t="n">
        <v>19</v>
      </c>
      <c r="B26" s="23"/>
      <c r="C26" s="24"/>
      <c r="D26" s="24"/>
      <c r="E26" s="25"/>
      <c r="F26" s="38"/>
      <c r="G26" s="23"/>
      <c r="H26" s="24"/>
      <c r="I26" s="39"/>
      <c r="J26" s="40"/>
      <c r="K26" s="40"/>
      <c r="L26" s="40"/>
      <c r="M26" s="41" t="str">
        <f aca="false">IF(K26&lt;&gt;"",K26-L26,"")</f>
        <v/>
      </c>
      <c r="N26" s="25"/>
      <c r="O26" s="42"/>
      <c r="P26" s="42"/>
      <c r="Q26" s="43" t="str">
        <f aca="false">IF(P26&lt;&gt;"",$B$3-P26,"")</f>
        <v/>
      </c>
      <c r="R26" s="39"/>
      <c r="S26" s="23"/>
    </row>
    <row r="27" customFormat="false" ht="18" hidden="false" customHeight="true" outlineLevel="0" collapsed="false">
      <c r="A27" s="27" t="n">
        <v>20</v>
      </c>
      <c r="B27" s="28"/>
      <c r="C27" s="29"/>
      <c r="D27" s="29"/>
      <c r="E27" s="30"/>
      <c r="F27" s="44"/>
      <c r="G27" s="28"/>
      <c r="H27" s="29"/>
      <c r="I27" s="45"/>
      <c r="J27" s="46"/>
      <c r="K27" s="46"/>
      <c r="L27" s="46"/>
      <c r="M27" s="41" t="str">
        <f aca="false">IF(K27&lt;&gt;"",K27-L27,"")</f>
        <v/>
      </c>
      <c r="N27" s="30"/>
      <c r="O27" s="47"/>
      <c r="P27" s="47"/>
      <c r="Q27" s="43" t="str">
        <f aca="false">IF(P27&lt;&gt;"",$B$3-P27,"")</f>
        <v/>
      </c>
      <c r="R27" s="45"/>
      <c r="S27" s="28"/>
    </row>
    <row r="28" customFormat="false" ht="18" hidden="false" customHeight="true" outlineLevel="0" collapsed="false">
      <c r="A28" s="22" t="n">
        <v>21</v>
      </c>
      <c r="B28" s="23"/>
      <c r="C28" s="24"/>
      <c r="D28" s="24"/>
      <c r="E28" s="25"/>
      <c r="F28" s="38"/>
      <c r="G28" s="23"/>
      <c r="H28" s="24"/>
      <c r="I28" s="39"/>
      <c r="J28" s="40"/>
      <c r="K28" s="40"/>
      <c r="L28" s="40"/>
      <c r="M28" s="41" t="str">
        <f aca="false">IF(K28&lt;&gt;"",K28-L28,"")</f>
        <v/>
      </c>
      <c r="N28" s="25"/>
      <c r="O28" s="42"/>
      <c r="P28" s="42"/>
      <c r="Q28" s="43" t="str">
        <f aca="false">IF(P28&lt;&gt;"",$B$3-P28,"")</f>
        <v/>
      </c>
      <c r="R28" s="39"/>
      <c r="S28" s="23"/>
    </row>
    <row r="29" customFormat="false" ht="18" hidden="false" customHeight="true" outlineLevel="0" collapsed="false">
      <c r="A29" s="27" t="n">
        <v>22</v>
      </c>
      <c r="B29" s="28"/>
      <c r="C29" s="29"/>
      <c r="D29" s="29"/>
      <c r="E29" s="30"/>
      <c r="F29" s="44"/>
      <c r="G29" s="28"/>
      <c r="H29" s="29"/>
      <c r="I29" s="45"/>
      <c r="J29" s="46"/>
      <c r="K29" s="46"/>
      <c r="L29" s="46"/>
      <c r="M29" s="41" t="str">
        <f aca="false">IF(K29&lt;&gt;"",K29-L29,"")</f>
        <v/>
      </c>
      <c r="N29" s="30"/>
      <c r="O29" s="47"/>
      <c r="P29" s="47"/>
      <c r="Q29" s="43" t="str">
        <f aca="false">IF(P29&lt;&gt;"",$B$3-P29,"")</f>
        <v/>
      </c>
      <c r="R29" s="45"/>
      <c r="S29" s="28"/>
    </row>
    <row r="30" customFormat="false" ht="18" hidden="false" customHeight="true" outlineLevel="0" collapsed="false">
      <c r="A30" s="22" t="n">
        <v>23</v>
      </c>
      <c r="B30" s="23"/>
      <c r="C30" s="24"/>
      <c r="D30" s="24"/>
      <c r="E30" s="25"/>
      <c r="F30" s="38"/>
      <c r="G30" s="23"/>
      <c r="H30" s="24"/>
      <c r="I30" s="39"/>
      <c r="J30" s="40"/>
      <c r="K30" s="40"/>
      <c r="L30" s="40"/>
      <c r="M30" s="41" t="str">
        <f aca="false">IF(K30&lt;&gt;"",K30-L30,"")</f>
        <v/>
      </c>
      <c r="N30" s="25"/>
      <c r="O30" s="42"/>
      <c r="P30" s="42"/>
      <c r="Q30" s="43" t="str">
        <f aca="false">IF(P30&lt;&gt;"",$B$3-P30,"")</f>
        <v/>
      </c>
      <c r="R30" s="39"/>
      <c r="S30" s="23"/>
    </row>
    <row r="31" customFormat="false" ht="18" hidden="false" customHeight="true" outlineLevel="0" collapsed="false">
      <c r="A31" s="27" t="n">
        <v>24</v>
      </c>
      <c r="B31" s="28"/>
      <c r="C31" s="29"/>
      <c r="D31" s="29"/>
      <c r="E31" s="30"/>
      <c r="F31" s="44"/>
      <c r="G31" s="28"/>
      <c r="H31" s="29"/>
      <c r="I31" s="45"/>
      <c r="J31" s="46"/>
      <c r="K31" s="46"/>
      <c r="L31" s="46"/>
      <c r="M31" s="41" t="str">
        <f aca="false">IF(K31&lt;&gt;"",K31-L31,"")</f>
        <v/>
      </c>
      <c r="N31" s="30"/>
      <c r="O31" s="47"/>
      <c r="P31" s="47"/>
      <c r="Q31" s="43" t="str">
        <f aca="false">IF(P31&lt;&gt;"",$B$3-P31,"")</f>
        <v/>
      </c>
      <c r="R31" s="45"/>
      <c r="S31" s="28"/>
    </row>
    <row r="32" customFormat="false" ht="18" hidden="false" customHeight="true" outlineLevel="0" collapsed="false">
      <c r="A32" s="22" t="n">
        <v>25</v>
      </c>
      <c r="B32" s="23"/>
      <c r="C32" s="24"/>
      <c r="D32" s="24"/>
      <c r="E32" s="25"/>
      <c r="F32" s="38"/>
      <c r="G32" s="23"/>
      <c r="H32" s="24"/>
      <c r="I32" s="39"/>
      <c r="J32" s="40"/>
      <c r="K32" s="40"/>
      <c r="L32" s="40"/>
      <c r="M32" s="41" t="str">
        <f aca="false">IF(K32&lt;&gt;"",K32-L32,"")</f>
        <v/>
      </c>
      <c r="N32" s="25"/>
      <c r="O32" s="42"/>
      <c r="P32" s="42"/>
      <c r="Q32" s="43" t="str">
        <f aca="false">IF(P32&lt;&gt;"",$B$3-P32,"")</f>
        <v/>
      </c>
      <c r="R32" s="39"/>
      <c r="S32" s="23"/>
    </row>
    <row r="33" customFormat="false" ht="18" hidden="false" customHeight="true" outlineLevel="0" collapsed="false">
      <c r="A33" s="27" t="n">
        <v>26</v>
      </c>
      <c r="B33" s="28"/>
      <c r="C33" s="29"/>
      <c r="D33" s="29"/>
      <c r="E33" s="30"/>
      <c r="F33" s="44"/>
      <c r="G33" s="28"/>
      <c r="H33" s="29"/>
      <c r="I33" s="45"/>
      <c r="J33" s="46"/>
      <c r="K33" s="46"/>
      <c r="L33" s="46"/>
      <c r="M33" s="41" t="str">
        <f aca="false">IF(K33&lt;&gt;"",K33-L33,"")</f>
        <v/>
      </c>
      <c r="N33" s="30"/>
      <c r="O33" s="47"/>
      <c r="P33" s="47"/>
      <c r="Q33" s="43" t="str">
        <f aca="false">IF(P33&lt;&gt;"",$B$3-P33,"")</f>
        <v/>
      </c>
      <c r="R33" s="45"/>
      <c r="S33" s="28"/>
    </row>
    <row r="34" customFormat="false" ht="18" hidden="false" customHeight="true" outlineLevel="0" collapsed="false">
      <c r="A34" s="22" t="n">
        <v>27</v>
      </c>
      <c r="B34" s="23"/>
      <c r="C34" s="24"/>
      <c r="D34" s="24"/>
      <c r="E34" s="25"/>
      <c r="F34" s="38"/>
      <c r="G34" s="23"/>
      <c r="H34" s="24"/>
      <c r="I34" s="39"/>
      <c r="J34" s="40"/>
      <c r="K34" s="40"/>
      <c r="L34" s="40"/>
      <c r="M34" s="41" t="str">
        <f aca="false">IF(K34&lt;&gt;"",K34-L34,"")</f>
        <v/>
      </c>
      <c r="N34" s="25"/>
      <c r="O34" s="42"/>
      <c r="P34" s="42"/>
      <c r="Q34" s="43" t="str">
        <f aca="false">IF(P34&lt;&gt;"",$B$3-P34,"")</f>
        <v/>
      </c>
      <c r="R34" s="39"/>
      <c r="S34" s="23"/>
    </row>
    <row r="35" customFormat="false" ht="18" hidden="false" customHeight="true" outlineLevel="0" collapsed="false">
      <c r="A35" s="27" t="n">
        <v>28</v>
      </c>
      <c r="B35" s="28"/>
      <c r="C35" s="29"/>
      <c r="D35" s="29"/>
      <c r="E35" s="30"/>
      <c r="F35" s="44"/>
      <c r="G35" s="28"/>
      <c r="H35" s="29"/>
      <c r="I35" s="45"/>
      <c r="J35" s="46"/>
      <c r="K35" s="46"/>
      <c r="L35" s="46"/>
      <c r="M35" s="41" t="str">
        <f aca="false">IF(K35&lt;&gt;"",K35-L35,"")</f>
        <v/>
      </c>
      <c r="N35" s="30"/>
      <c r="O35" s="47"/>
      <c r="P35" s="47"/>
      <c r="Q35" s="43" t="str">
        <f aca="false">IF(P35&lt;&gt;"",$B$3-P35,"")</f>
        <v/>
      </c>
      <c r="R35" s="45"/>
      <c r="S35" s="28"/>
    </row>
    <row r="36" customFormat="false" ht="18" hidden="false" customHeight="true" outlineLevel="0" collapsed="false">
      <c r="A36" s="22" t="n">
        <v>29</v>
      </c>
      <c r="B36" s="23"/>
      <c r="C36" s="24"/>
      <c r="D36" s="24"/>
      <c r="E36" s="25"/>
      <c r="F36" s="38"/>
      <c r="G36" s="23"/>
      <c r="H36" s="24"/>
      <c r="I36" s="39"/>
      <c r="J36" s="40"/>
      <c r="K36" s="40"/>
      <c r="L36" s="40"/>
      <c r="M36" s="41" t="str">
        <f aca="false">IF(K36&lt;&gt;"",K36-L36,"")</f>
        <v/>
      </c>
      <c r="N36" s="25"/>
      <c r="O36" s="42"/>
      <c r="P36" s="42"/>
      <c r="Q36" s="43" t="str">
        <f aca="false">IF(P36&lt;&gt;"",$B$3-P36,"")</f>
        <v/>
      </c>
      <c r="R36" s="39"/>
      <c r="S36" s="23"/>
    </row>
    <row r="37" customFormat="false" ht="18" hidden="false" customHeight="true" outlineLevel="0" collapsed="false">
      <c r="A37" s="27" t="n">
        <v>30</v>
      </c>
      <c r="B37" s="28"/>
      <c r="C37" s="29"/>
      <c r="D37" s="29"/>
      <c r="E37" s="30"/>
      <c r="F37" s="44"/>
      <c r="G37" s="28"/>
      <c r="H37" s="29"/>
      <c r="I37" s="45"/>
      <c r="J37" s="46"/>
      <c r="K37" s="46"/>
      <c r="L37" s="46"/>
      <c r="M37" s="41" t="str">
        <f aca="false">IF(K37&lt;&gt;"",K37-L37,"")</f>
        <v/>
      </c>
      <c r="N37" s="30"/>
      <c r="O37" s="47"/>
      <c r="P37" s="47"/>
      <c r="Q37" s="43" t="str">
        <f aca="false">IF(P37&lt;&gt;"",$B$3-P37,"")</f>
        <v/>
      </c>
      <c r="R37" s="45"/>
      <c r="S37" s="28"/>
    </row>
    <row r="38" customFormat="false" ht="18" hidden="false" customHeight="true" outlineLevel="0" collapsed="false">
      <c r="A38" s="22" t="n">
        <v>31</v>
      </c>
      <c r="B38" s="23"/>
      <c r="C38" s="24"/>
      <c r="D38" s="24"/>
      <c r="E38" s="25"/>
      <c r="F38" s="38"/>
      <c r="G38" s="23"/>
      <c r="H38" s="24"/>
      <c r="I38" s="39"/>
      <c r="J38" s="40"/>
      <c r="K38" s="40"/>
      <c r="L38" s="40"/>
      <c r="M38" s="41" t="str">
        <f aca="false">IF(K38&lt;&gt;"",K38-L38,"")</f>
        <v/>
      </c>
      <c r="N38" s="25"/>
      <c r="O38" s="42"/>
      <c r="P38" s="42"/>
      <c r="Q38" s="43" t="str">
        <f aca="false">IF(P38&lt;&gt;"",$B$3-P38,"")</f>
        <v/>
      </c>
      <c r="R38" s="39"/>
      <c r="S38" s="23"/>
    </row>
    <row r="39" customFormat="false" ht="18" hidden="false" customHeight="true" outlineLevel="0" collapsed="false">
      <c r="A39" s="27" t="n">
        <v>32</v>
      </c>
      <c r="B39" s="28"/>
      <c r="C39" s="29"/>
      <c r="D39" s="29"/>
      <c r="E39" s="30"/>
      <c r="F39" s="44"/>
      <c r="G39" s="28"/>
      <c r="H39" s="29"/>
      <c r="I39" s="45"/>
      <c r="J39" s="46"/>
      <c r="K39" s="46"/>
      <c r="L39" s="46"/>
      <c r="M39" s="41" t="str">
        <f aca="false">IF(K39&lt;&gt;"",K39-L39,"")</f>
        <v/>
      </c>
      <c r="N39" s="30"/>
      <c r="O39" s="47"/>
      <c r="P39" s="47"/>
      <c r="Q39" s="43" t="str">
        <f aca="false">IF(P39&lt;&gt;"",$B$3-P39,"")</f>
        <v/>
      </c>
      <c r="R39" s="45"/>
      <c r="S39" s="28"/>
    </row>
    <row r="40" customFormat="false" ht="18" hidden="false" customHeight="true" outlineLevel="0" collapsed="false">
      <c r="A40" s="22" t="n">
        <v>33</v>
      </c>
      <c r="B40" s="23"/>
      <c r="C40" s="24"/>
      <c r="D40" s="24"/>
      <c r="E40" s="25"/>
      <c r="F40" s="38"/>
      <c r="G40" s="23"/>
      <c r="H40" s="24"/>
      <c r="I40" s="39"/>
      <c r="J40" s="40"/>
      <c r="K40" s="40"/>
      <c r="L40" s="40"/>
      <c r="M40" s="41" t="str">
        <f aca="false">IF(K40&lt;&gt;"",K40-L40,"")</f>
        <v/>
      </c>
      <c r="N40" s="25"/>
      <c r="O40" s="42"/>
      <c r="P40" s="42"/>
      <c r="Q40" s="43" t="str">
        <f aca="false">IF(P40&lt;&gt;"",$B$3-P40,"")</f>
        <v/>
      </c>
      <c r="R40" s="39"/>
      <c r="S40" s="23"/>
    </row>
    <row r="41" customFormat="false" ht="18" hidden="false" customHeight="true" outlineLevel="0" collapsed="false">
      <c r="A41" s="27" t="n">
        <v>34</v>
      </c>
      <c r="B41" s="28"/>
      <c r="C41" s="29"/>
      <c r="D41" s="29"/>
      <c r="E41" s="30"/>
      <c r="F41" s="44"/>
      <c r="G41" s="28"/>
      <c r="H41" s="29"/>
      <c r="I41" s="45"/>
      <c r="J41" s="46"/>
      <c r="K41" s="46"/>
      <c r="L41" s="46"/>
      <c r="M41" s="41" t="str">
        <f aca="false">IF(K41&lt;&gt;"",K41-L41,"")</f>
        <v/>
      </c>
      <c r="N41" s="30"/>
      <c r="O41" s="47"/>
      <c r="P41" s="47"/>
      <c r="Q41" s="43" t="str">
        <f aca="false">IF(P41&lt;&gt;"",$B$3-P41,"")</f>
        <v/>
      </c>
      <c r="R41" s="45"/>
      <c r="S41" s="28"/>
    </row>
    <row r="42" customFormat="false" ht="18" hidden="false" customHeight="true" outlineLevel="0" collapsed="false">
      <c r="A42" s="22" t="n">
        <v>35</v>
      </c>
      <c r="B42" s="23"/>
      <c r="C42" s="24"/>
      <c r="D42" s="24"/>
      <c r="E42" s="25"/>
      <c r="F42" s="38"/>
      <c r="G42" s="23"/>
      <c r="H42" s="24"/>
      <c r="I42" s="39"/>
      <c r="J42" s="40"/>
      <c r="K42" s="40"/>
      <c r="L42" s="40"/>
      <c r="M42" s="41" t="str">
        <f aca="false">IF(K42&lt;&gt;"",K42-L42,"")</f>
        <v/>
      </c>
      <c r="N42" s="25"/>
      <c r="O42" s="42"/>
      <c r="P42" s="42"/>
      <c r="Q42" s="43" t="str">
        <f aca="false">IF(P42&lt;&gt;"",$B$3-P42,"")</f>
        <v/>
      </c>
      <c r="R42" s="39"/>
      <c r="S42" s="23"/>
    </row>
    <row r="43" customFormat="false" ht="18" hidden="false" customHeight="true" outlineLevel="0" collapsed="false">
      <c r="A43" s="27" t="n">
        <v>36</v>
      </c>
      <c r="B43" s="28"/>
      <c r="C43" s="29"/>
      <c r="D43" s="29"/>
      <c r="E43" s="30"/>
      <c r="F43" s="44"/>
      <c r="G43" s="28"/>
      <c r="H43" s="29"/>
      <c r="I43" s="45"/>
      <c r="J43" s="46"/>
      <c r="K43" s="46"/>
      <c r="L43" s="46"/>
      <c r="M43" s="41" t="str">
        <f aca="false">IF(K43&lt;&gt;"",K43-L43,"")</f>
        <v/>
      </c>
      <c r="N43" s="30"/>
      <c r="O43" s="47"/>
      <c r="P43" s="47"/>
      <c r="Q43" s="43" t="str">
        <f aca="false">IF(P43&lt;&gt;"",$B$3-P43,"")</f>
        <v/>
      </c>
      <c r="R43" s="45"/>
      <c r="S43" s="28"/>
    </row>
    <row r="44" customFormat="false" ht="18" hidden="false" customHeight="true" outlineLevel="0" collapsed="false">
      <c r="A44" s="22" t="n">
        <v>37</v>
      </c>
      <c r="B44" s="23"/>
      <c r="C44" s="24"/>
      <c r="D44" s="24"/>
      <c r="E44" s="25"/>
      <c r="F44" s="38"/>
      <c r="G44" s="23"/>
      <c r="H44" s="24"/>
      <c r="I44" s="39"/>
      <c r="J44" s="40"/>
      <c r="K44" s="40"/>
      <c r="L44" s="40"/>
      <c r="M44" s="41" t="str">
        <f aca="false">IF(K44&lt;&gt;"",K44-L44,"")</f>
        <v/>
      </c>
      <c r="N44" s="25"/>
      <c r="O44" s="42"/>
      <c r="P44" s="42"/>
      <c r="Q44" s="43" t="str">
        <f aca="false">IF(P44&lt;&gt;"",$B$3-P44,"")</f>
        <v/>
      </c>
      <c r="R44" s="39"/>
      <c r="S44" s="23"/>
    </row>
    <row r="45" customFormat="false" ht="18" hidden="false" customHeight="true" outlineLevel="0" collapsed="false">
      <c r="A45" s="27" t="n">
        <v>38</v>
      </c>
      <c r="B45" s="28"/>
      <c r="C45" s="29"/>
      <c r="D45" s="29"/>
      <c r="E45" s="30"/>
      <c r="F45" s="44"/>
      <c r="G45" s="28"/>
      <c r="H45" s="29"/>
      <c r="I45" s="45"/>
      <c r="J45" s="46"/>
      <c r="K45" s="46"/>
      <c r="L45" s="46"/>
      <c r="M45" s="41" t="str">
        <f aca="false">IF(K45&lt;&gt;"",K45-L45,"")</f>
        <v/>
      </c>
      <c r="N45" s="30"/>
      <c r="O45" s="47"/>
      <c r="P45" s="47"/>
      <c r="Q45" s="43" t="str">
        <f aca="false">IF(P45&lt;&gt;"",$B$3-P45,"")</f>
        <v/>
      </c>
      <c r="R45" s="45"/>
      <c r="S45" s="28"/>
    </row>
    <row r="46" customFormat="false" ht="18" hidden="false" customHeight="true" outlineLevel="0" collapsed="false">
      <c r="A46" s="22" t="n">
        <v>39</v>
      </c>
      <c r="B46" s="23"/>
      <c r="C46" s="24"/>
      <c r="D46" s="24"/>
      <c r="E46" s="25"/>
      <c r="F46" s="38"/>
      <c r="G46" s="23"/>
      <c r="H46" s="24"/>
      <c r="I46" s="39"/>
      <c r="J46" s="40"/>
      <c r="K46" s="40"/>
      <c r="L46" s="40"/>
      <c r="M46" s="41" t="str">
        <f aca="false">IF(K46&lt;&gt;"",K46-L46,"")</f>
        <v/>
      </c>
      <c r="N46" s="25"/>
      <c r="O46" s="42"/>
      <c r="P46" s="42"/>
      <c r="Q46" s="43" t="str">
        <f aca="false">IF(P46&lt;&gt;"",$B$3-P46,"")</f>
        <v/>
      </c>
      <c r="R46" s="39"/>
      <c r="S46" s="23"/>
    </row>
    <row r="47" customFormat="false" ht="18" hidden="false" customHeight="true" outlineLevel="0" collapsed="false">
      <c r="A47" s="27" t="n">
        <v>40</v>
      </c>
      <c r="B47" s="28"/>
      <c r="C47" s="29"/>
      <c r="D47" s="29"/>
      <c r="E47" s="30"/>
      <c r="F47" s="44"/>
      <c r="G47" s="28"/>
      <c r="H47" s="29"/>
      <c r="I47" s="45"/>
      <c r="J47" s="46"/>
      <c r="K47" s="46"/>
      <c r="L47" s="46"/>
      <c r="M47" s="41" t="str">
        <f aca="false">IF(K47&lt;&gt;"",K47-L47,"")</f>
        <v/>
      </c>
      <c r="N47" s="30"/>
      <c r="O47" s="47"/>
      <c r="P47" s="47"/>
      <c r="Q47" s="43" t="str">
        <f aca="false">IF(P47&lt;&gt;"",$B$3-P47,"")</f>
        <v/>
      </c>
      <c r="R47" s="45"/>
      <c r="S47" s="28"/>
    </row>
    <row r="48" customFormat="false" ht="18" hidden="false" customHeight="true" outlineLevel="0" collapsed="false">
      <c r="A48" s="22" t="n">
        <v>41</v>
      </c>
      <c r="B48" s="23"/>
      <c r="C48" s="24"/>
      <c r="D48" s="24"/>
      <c r="E48" s="25"/>
      <c r="F48" s="38"/>
      <c r="G48" s="23"/>
      <c r="H48" s="24"/>
      <c r="I48" s="39"/>
      <c r="J48" s="40"/>
      <c r="K48" s="40"/>
      <c r="L48" s="40"/>
      <c r="M48" s="41" t="str">
        <f aca="false">IF(K48&lt;&gt;"",K48-L48,"")</f>
        <v/>
      </c>
      <c r="N48" s="25"/>
      <c r="O48" s="42"/>
      <c r="P48" s="42"/>
      <c r="Q48" s="43" t="str">
        <f aca="false">IF(P48&lt;&gt;"",$B$3-P48,"")</f>
        <v/>
      </c>
      <c r="R48" s="39"/>
      <c r="S48" s="23"/>
    </row>
    <row r="49" customFormat="false" ht="18" hidden="false" customHeight="true" outlineLevel="0" collapsed="false">
      <c r="A49" s="27" t="n">
        <v>42</v>
      </c>
      <c r="B49" s="28"/>
      <c r="C49" s="29"/>
      <c r="D49" s="29"/>
      <c r="E49" s="30"/>
      <c r="F49" s="44"/>
      <c r="G49" s="28"/>
      <c r="H49" s="29"/>
      <c r="I49" s="45"/>
      <c r="J49" s="46"/>
      <c r="K49" s="46"/>
      <c r="L49" s="46"/>
      <c r="M49" s="41" t="str">
        <f aca="false">IF(K49&lt;&gt;"",K49-L49,"")</f>
        <v/>
      </c>
      <c r="N49" s="30"/>
      <c r="O49" s="47"/>
      <c r="P49" s="47"/>
      <c r="Q49" s="43" t="str">
        <f aca="false">IF(P49&lt;&gt;"",$B$3-P49,"")</f>
        <v/>
      </c>
      <c r="R49" s="45"/>
      <c r="S49" s="28"/>
    </row>
    <row r="50" customFormat="false" ht="18" hidden="false" customHeight="true" outlineLevel="0" collapsed="false">
      <c r="A50" s="22" t="n">
        <v>43</v>
      </c>
      <c r="B50" s="23"/>
      <c r="C50" s="24"/>
      <c r="D50" s="24"/>
      <c r="E50" s="25"/>
      <c r="F50" s="38"/>
      <c r="G50" s="23"/>
      <c r="H50" s="24"/>
      <c r="I50" s="39"/>
      <c r="J50" s="40"/>
      <c r="K50" s="40"/>
      <c r="L50" s="40"/>
      <c r="M50" s="41" t="str">
        <f aca="false">IF(K50&lt;&gt;"",K50-L50,"")</f>
        <v/>
      </c>
      <c r="N50" s="25"/>
      <c r="O50" s="42"/>
      <c r="P50" s="42"/>
      <c r="Q50" s="43" t="str">
        <f aca="false">IF(P50&lt;&gt;"",$B$3-P50,"")</f>
        <v/>
      </c>
      <c r="R50" s="39"/>
      <c r="S50" s="23"/>
    </row>
    <row r="51" customFormat="false" ht="18" hidden="false" customHeight="true" outlineLevel="0" collapsed="false">
      <c r="A51" s="27" t="n">
        <v>44</v>
      </c>
      <c r="B51" s="28"/>
      <c r="C51" s="29"/>
      <c r="D51" s="29"/>
      <c r="E51" s="30"/>
      <c r="F51" s="44"/>
      <c r="G51" s="28"/>
      <c r="H51" s="29"/>
      <c r="I51" s="45"/>
      <c r="J51" s="46"/>
      <c r="K51" s="46"/>
      <c r="L51" s="46"/>
      <c r="M51" s="41" t="str">
        <f aca="false">IF(K51&lt;&gt;"",K51-L51,"")</f>
        <v/>
      </c>
      <c r="N51" s="30"/>
      <c r="O51" s="47"/>
      <c r="P51" s="47"/>
      <c r="Q51" s="43" t="str">
        <f aca="false">IF(P51&lt;&gt;"",$B$3-P51,"")</f>
        <v/>
      </c>
      <c r="R51" s="45"/>
      <c r="S51" s="28"/>
    </row>
    <row r="52" customFormat="false" ht="18" hidden="false" customHeight="true" outlineLevel="0" collapsed="false">
      <c r="A52" s="22" t="n">
        <v>45</v>
      </c>
      <c r="B52" s="23"/>
      <c r="C52" s="24"/>
      <c r="D52" s="24"/>
      <c r="E52" s="25"/>
      <c r="F52" s="38"/>
      <c r="G52" s="23"/>
      <c r="H52" s="24"/>
      <c r="I52" s="39"/>
      <c r="J52" s="40"/>
      <c r="K52" s="40"/>
      <c r="L52" s="40"/>
      <c r="M52" s="41" t="str">
        <f aca="false">IF(K52&lt;&gt;"",K52-L52,"")</f>
        <v/>
      </c>
      <c r="N52" s="25"/>
      <c r="O52" s="42"/>
      <c r="P52" s="42"/>
      <c r="Q52" s="43" t="str">
        <f aca="false">IF(P52&lt;&gt;"",$B$3-P52,"")</f>
        <v/>
      </c>
      <c r="R52" s="39"/>
      <c r="S52" s="23"/>
    </row>
    <row r="53" customFormat="false" ht="18" hidden="false" customHeight="true" outlineLevel="0" collapsed="false">
      <c r="A53" s="27" t="n">
        <v>46</v>
      </c>
      <c r="B53" s="28"/>
      <c r="C53" s="29"/>
      <c r="D53" s="29"/>
      <c r="E53" s="30"/>
      <c r="F53" s="44"/>
      <c r="G53" s="28"/>
      <c r="H53" s="29"/>
      <c r="I53" s="45"/>
      <c r="J53" s="46"/>
      <c r="K53" s="46"/>
      <c r="L53" s="46"/>
      <c r="M53" s="41" t="str">
        <f aca="false">IF(K53&lt;&gt;"",K53-L53,"")</f>
        <v/>
      </c>
      <c r="N53" s="30"/>
      <c r="O53" s="47"/>
      <c r="P53" s="47"/>
      <c r="Q53" s="43" t="str">
        <f aca="false">IF(P53&lt;&gt;"",$B$3-P53,"")</f>
        <v/>
      </c>
      <c r="R53" s="45"/>
      <c r="S53" s="28"/>
    </row>
    <row r="54" customFormat="false" ht="18" hidden="false" customHeight="true" outlineLevel="0" collapsed="false">
      <c r="A54" s="22" t="n">
        <v>47</v>
      </c>
      <c r="B54" s="23"/>
      <c r="C54" s="24"/>
      <c r="D54" s="24"/>
      <c r="E54" s="25"/>
      <c r="F54" s="38"/>
      <c r="G54" s="23"/>
      <c r="H54" s="24"/>
      <c r="I54" s="39"/>
      <c r="J54" s="40"/>
      <c r="K54" s="40"/>
      <c r="L54" s="40"/>
      <c r="M54" s="41" t="str">
        <f aca="false">IF(K54&lt;&gt;"",K54-L54,"")</f>
        <v/>
      </c>
      <c r="N54" s="25"/>
      <c r="O54" s="42"/>
      <c r="P54" s="42"/>
      <c r="Q54" s="43" t="str">
        <f aca="false">IF(P54&lt;&gt;"",$B$3-P54,"")</f>
        <v/>
      </c>
      <c r="R54" s="39"/>
      <c r="S54" s="23"/>
    </row>
    <row r="55" customFormat="false" ht="18" hidden="false" customHeight="true" outlineLevel="0" collapsed="false">
      <c r="A55" s="27" t="n">
        <v>48</v>
      </c>
      <c r="B55" s="28"/>
      <c r="C55" s="29"/>
      <c r="D55" s="29"/>
      <c r="E55" s="30"/>
      <c r="F55" s="44"/>
      <c r="G55" s="28"/>
      <c r="H55" s="29"/>
      <c r="I55" s="45"/>
      <c r="J55" s="46"/>
      <c r="K55" s="46"/>
      <c r="L55" s="46"/>
      <c r="M55" s="41" t="str">
        <f aca="false">IF(K55&lt;&gt;"",K55-L55,"")</f>
        <v/>
      </c>
      <c r="N55" s="30"/>
      <c r="O55" s="47"/>
      <c r="P55" s="47"/>
      <c r="Q55" s="43" t="str">
        <f aca="false">IF(P55&lt;&gt;"",$B$3-P55,"")</f>
        <v/>
      </c>
      <c r="R55" s="45"/>
      <c r="S55" s="28"/>
    </row>
    <row r="56" customFormat="false" ht="18" hidden="false" customHeight="true" outlineLevel="0" collapsed="false">
      <c r="A56" s="22" t="n">
        <v>49</v>
      </c>
      <c r="B56" s="23"/>
      <c r="C56" s="24"/>
      <c r="D56" s="24"/>
      <c r="E56" s="25"/>
      <c r="F56" s="38"/>
      <c r="G56" s="23"/>
      <c r="H56" s="24"/>
      <c r="I56" s="39"/>
      <c r="J56" s="40"/>
      <c r="K56" s="40"/>
      <c r="L56" s="40"/>
      <c r="M56" s="41" t="str">
        <f aca="false">IF(K56&lt;&gt;"",K56-L56,"")</f>
        <v/>
      </c>
      <c r="N56" s="25"/>
      <c r="O56" s="42"/>
      <c r="P56" s="42"/>
      <c r="Q56" s="43" t="str">
        <f aca="false">IF(P56&lt;&gt;"",$B$3-P56,"")</f>
        <v/>
      </c>
      <c r="R56" s="39"/>
      <c r="S56" s="23"/>
    </row>
    <row r="57" customFormat="false" ht="18" hidden="false" customHeight="true" outlineLevel="0" collapsed="false">
      <c r="A57" s="27" t="n">
        <v>50</v>
      </c>
      <c r="B57" s="28"/>
      <c r="C57" s="29"/>
      <c r="D57" s="29"/>
      <c r="E57" s="30"/>
      <c r="F57" s="44"/>
      <c r="G57" s="28"/>
      <c r="H57" s="29"/>
      <c r="I57" s="45"/>
      <c r="J57" s="46"/>
      <c r="K57" s="46"/>
      <c r="L57" s="46"/>
      <c r="M57" s="41" t="str">
        <f aca="false">IF(K57&lt;&gt;"",K57-L57,"")</f>
        <v/>
      </c>
      <c r="N57" s="30"/>
      <c r="O57" s="47"/>
      <c r="P57" s="47"/>
      <c r="Q57" s="43" t="str">
        <f aca="false">IF(P57&lt;&gt;"",$B$3-P57,"")</f>
        <v/>
      </c>
      <c r="R57" s="45"/>
      <c r="S57" s="28"/>
    </row>
    <row r="58" customFormat="false" ht="19.5" hidden="false" customHeight="true" outlineLevel="0" collapsed="false">
      <c r="A58" s="48" t="s">
        <v>61</v>
      </c>
      <c r="B58" s="48"/>
      <c r="C58" s="48"/>
      <c r="D58" s="48"/>
      <c r="E58" s="48"/>
      <c r="F58" s="48"/>
      <c r="G58" s="48"/>
      <c r="H58" s="48"/>
      <c r="I58" s="48"/>
      <c r="J58" s="48"/>
      <c r="K58" s="49" t="n">
        <f aca="false">SUM(K8:K57)</f>
        <v>0</v>
      </c>
      <c r="L58" s="49" t="n">
        <f aca="false">SUM(L8:L57)</f>
        <v>0</v>
      </c>
      <c r="M58" s="49" t="n">
        <f aca="false">SUM(M8:M57)</f>
        <v>0</v>
      </c>
    </row>
    <row r="60" customFormat="false" ht="21.75" hidden="false" customHeight="true" outlineLevel="0" collapsed="false">
      <c r="A60" s="33" t="s">
        <v>34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</sheetData>
  <sheetProtection sheet="true" password="df0a"/>
  <mergeCells count="8">
    <mergeCell ref="A1:S1"/>
    <mergeCell ref="A5:C5"/>
    <mergeCell ref="D5:G5"/>
    <mergeCell ref="H5:J5"/>
    <mergeCell ref="K5:N5"/>
    <mergeCell ref="O5:Q5"/>
    <mergeCell ref="A58:J58"/>
    <mergeCell ref="A60:S60"/>
  </mergeCells>
  <conditionalFormatting sqref="M8:M57">
    <cfRule type="cellIs" priority="2" operator="greaterThan" aboveAverage="0" equalAverage="0" bottom="0" percent="0" rank="0" text="" dxfId="2">
      <formula>0</formula>
    </cfRule>
  </conditionalFormatting>
  <conditionalFormatting sqref="Q8:Q57">
    <cfRule type="cellIs" priority="3" operator="greaterThan" aboveAverage="0" equalAverage="0" bottom="0" percent="0" rank="0" text="" dxfId="2">
      <formula>60</formula>
    </cfRule>
    <cfRule type="cellIs" priority="4" operator="between" aboveAverage="0" equalAverage="0" bottom="0" percent="0" rank="0" text="" dxfId="4">
      <formula>45</formula>
      <formula>60</formula>
    </cfRule>
  </conditionalFormatting>
  <conditionalFormatting sqref="R8:R57">
    <cfRule type="cellIs" priority="5" operator="greaterThanOrEqual" aboveAverage="0" equalAverage="0" bottom="0" percent="0" rank="0" text="" dxfId="0">
      <formula>0.9</formula>
    </cfRule>
    <cfRule type="cellIs" priority="6" operator="between" aboveAverage="0" equalAverage="0" bottom="0" percent="0" rank="0" text="" dxfId="3">
      <formula>0.7</formula>
      <formula>0.9</formula>
    </cfRule>
    <cfRule type="cellIs" priority="7" operator="lessThan" aboveAverage="0" equalAverage="0" bottom="0" percent="0" rank="0" text="" dxfId="2">
      <formula>0.7</formula>
    </cfRule>
  </conditionalFormatting>
  <dataValidations count="2">
    <dataValidation allowBlank="true" errorStyle="stop" operator="between" showDropDown="false" showErrorMessage="true" showInputMessage="false" sqref="D8:D57" type="list">
      <formula1>"Net 10,Net 15,Net 20,Net 30,Net 45,Net 60,Due on Receipt,Pay-When-Paid,Other"</formula1>
      <formula2>0</formula2>
    </dataValidation>
    <dataValidation allowBlank="true" errorStyle="stop" operator="between" showDropDown="false" showErrorMessage="true" showInputMessage="false" sqref="H8:H5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24"/>
  </cols>
  <sheetData>
    <row r="1" customFormat="false" ht="36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A2" s="2" t="s">
        <v>1</v>
      </c>
      <c r="B2" s="3"/>
      <c r="D2" s="2" t="s">
        <v>3</v>
      </c>
      <c r="E2" s="3"/>
    </row>
    <row r="3" customFormat="false" ht="19.5" hidden="false" customHeight="true" outlineLevel="0" collapsed="false">
      <c r="A3" s="35" t="s">
        <v>37</v>
      </c>
      <c r="B3" s="77" t="n">
        <f aca="true">TODAY()</f>
        <v>46111</v>
      </c>
      <c r="D3" s="6" t="s">
        <v>63</v>
      </c>
      <c r="F3" s="7" t="n">
        <f aca="false">COUNTIF(L8:L107,"Received")</f>
        <v>0</v>
      </c>
      <c r="G3" s="50" t="s">
        <v>64</v>
      </c>
      <c r="I3" s="51" t="n">
        <f aca="false">COUNTIF(L8:L107,"Pending")</f>
        <v>0</v>
      </c>
      <c r="J3" s="8" t="s">
        <v>65</v>
      </c>
      <c r="L3" s="52" t="n">
        <f aca="false">COUNTIFS(L8:L107,"Missing")+COUNTIFS(L8:L107,"Overdue")</f>
        <v>0</v>
      </c>
      <c r="M3" s="4" t="s">
        <v>66</v>
      </c>
      <c r="O3" s="53" t="n">
        <f aca="false">SUM(F8:F107)</f>
        <v>0</v>
      </c>
    </row>
    <row r="4" customFormat="false" ht="18" hidden="false" customHeight="true" outlineLevel="0" collapsed="false">
      <c r="A4" s="54" t="s">
        <v>67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</row>
    <row r="5" customFormat="false" ht="15.75" hidden="false" customHeight="true" outlineLevel="0" collapsed="false">
      <c r="A5" s="12" t="s">
        <v>68</v>
      </c>
      <c r="B5" s="12"/>
      <c r="C5" s="12"/>
      <c r="D5" s="12"/>
      <c r="E5" s="13" t="s">
        <v>69</v>
      </c>
      <c r="F5" s="13"/>
      <c r="G5" s="13"/>
      <c r="H5" s="13"/>
      <c r="I5" s="14" t="s">
        <v>70</v>
      </c>
      <c r="J5" s="14"/>
      <c r="K5" s="14"/>
      <c r="L5" s="15" t="s">
        <v>71</v>
      </c>
      <c r="M5" s="15"/>
      <c r="N5" s="15"/>
      <c r="O5" s="55" t="s">
        <v>72</v>
      </c>
      <c r="P5" s="17" t="s">
        <v>16</v>
      </c>
    </row>
    <row r="6" customFormat="false" ht="30" hidden="false" customHeight="true" outlineLevel="0" collapsed="false">
      <c r="A6" s="18" t="s">
        <v>17</v>
      </c>
      <c r="B6" s="18" t="s">
        <v>73</v>
      </c>
      <c r="C6" s="18" t="s">
        <v>74</v>
      </c>
      <c r="D6" s="18" t="s">
        <v>75</v>
      </c>
      <c r="E6" s="19" t="s">
        <v>76</v>
      </c>
      <c r="F6" s="19" t="s">
        <v>77</v>
      </c>
      <c r="G6" s="19" t="s">
        <v>78</v>
      </c>
      <c r="H6" s="19" t="s">
        <v>79</v>
      </c>
      <c r="I6" s="20" t="s">
        <v>80</v>
      </c>
      <c r="J6" s="20" t="s">
        <v>81</v>
      </c>
      <c r="K6" s="20" t="s">
        <v>82</v>
      </c>
      <c r="L6" s="21" t="s">
        <v>83</v>
      </c>
      <c r="M6" s="21" t="s">
        <v>84</v>
      </c>
      <c r="N6" s="21" t="s">
        <v>85</v>
      </c>
      <c r="O6" s="56" t="s">
        <v>86</v>
      </c>
      <c r="P6" s="20" t="s">
        <v>60</v>
      </c>
    </row>
    <row r="8" customFormat="false" ht="18" hidden="false" customHeight="true" outlineLevel="0" collapsed="false">
      <c r="A8" s="22" t="n">
        <v>1</v>
      </c>
      <c r="B8" s="23"/>
      <c r="C8" s="23"/>
      <c r="D8" s="24"/>
      <c r="E8" s="24"/>
      <c r="F8" s="40"/>
      <c r="G8" s="42"/>
      <c r="H8" s="42"/>
      <c r="I8" s="42"/>
      <c r="J8" s="57"/>
      <c r="K8" s="43" t="str">
        <f aca="false">IF(AND(I8&lt;&gt;"",J8&lt;&gt;""),J8-I8,IF(AND(I8&lt;&gt;"",$B$3&gt;I8+14),"OVERDUE",""))</f>
        <v/>
      </c>
      <c r="L8" s="58"/>
      <c r="M8" s="24"/>
      <c r="N8" s="24"/>
      <c r="O8" s="24"/>
      <c r="P8" s="23"/>
    </row>
    <row r="9" customFormat="false" ht="18" hidden="false" customHeight="true" outlineLevel="0" collapsed="false">
      <c r="A9" s="27" t="n">
        <v>2</v>
      </c>
      <c r="B9" s="28"/>
      <c r="C9" s="28"/>
      <c r="D9" s="29"/>
      <c r="E9" s="29"/>
      <c r="F9" s="46"/>
      <c r="G9" s="47"/>
      <c r="H9" s="47"/>
      <c r="I9" s="47"/>
      <c r="J9" s="57"/>
      <c r="K9" s="43" t="str">
        <f aca="false">IF(AND(I9&lt;&gt;"",J9&lt;&gt;""),J9-I9,IF(AND(I9&lt;&gt;"",$B$3&gt;I9+14),"OVERDUE",""))</f>
        <v/>
      </c>
      <c r="L9" s="58"/>
      <c r="M9" s="29"/>
      <c r="N9" s="29"/>
      <c r="O9" s="29"/>
      <c r="P9" s="28"/>
    </row>
    <row r="10" customFormat="false" ht="18" hidden="false" customHeight="true" outlineLevel="0" collapsed="false">
      <c r="A10" s="22" t="n">
        <v>3</v>
      </c>
      <c r="B10" s="23"/>
      <c r="C10" s="23"/>
      <c r="D10" s="24"/>
      <c r="E10" s="24"/>
      <c r="F10" s="40"/>
      <c r="G10" s="42"/>
      <c r="H10" s="42"/>
      <c r="I10" s="42"/>
      <c r="J10" s="57"/>
      <c r="K10" s="43" t="str">
        <f aca="false">IF(AND(I10&lt;&gt;"",J10&lt;&gt;""),J10-I10,IF(AND(I10&lt;&gt;"",$B$3&gt;I10+14),"OVERDUE",""))</f>
        <v/>
      </c>
      <c r="L10" s="58"/>
      <c r="M10" s="24"/>
      <c r="N10" s="24"/>
      <c r="O10" s="24"/>
      <c r="P10" s="23"/>
    </row>
    <row r="11" customFormat="false" ht="18" hidden="false" customHeight="true" outlineLevel="0" collapsed="false">
      <c r="A11" s="27" t="n">
        <v>4</v>
      </c>
      <c r="B11" s="28"/>
      <c r="C11" s="28"/>
      <c r="D11" s="29"/>
      <c r="E11" s="29"/>
      <c r="F11" s="46"/>
      <c r="G11" s="47"/>
      <c r="H11" s="47"/>
      <c r="I11" s="47"/>
      <c r="J11" s="57"/>
      <c r="K11" s="43" t="str">
        <f aca="false">IF(AND(I11&lt;&gt;"",J11&lt;&gt;""),J11-I11,IF(AND(I11&lt;&gt;"",$B$3&gt;I11+14),"OVERDUE",""))</f>
        <v/>
      </c>
      <c r="L11" s="58"/>
      <c r="M11" s="29"/>
      <c r="N11" s="29"/>
      <c r="O11" s="29"/>
      <c r="P11" s="28"/>
    </row>
    <row r="12" customFormat="false" ht="18" hidden="false" customHeight="true" outlineLevel="0" collapsed="false">
      <c r="A12" s="22" t="n">
        <v>5</v>
      </c>
      <c r="B12" s="23"/>
      <c r="C12" s="23"/>
      <c r="D12" s="24"/>
      <c r="E12" s="24"/>
      <c r="F12" s="40"/>
      <c r="G12" s="42"/>
      <c r="H12" s="42"/>
      <c r="I12" s="42"/>
      <c r="J12" s="57"/>
      <c r="K12" s="43" t="str">
        <f aca="false">IF(AND(I12&lt;&gt;"",J12&lt;&gt;""),J12-I12,IF(AND(I12&lt;&gt;"",$B$3&gt;I12+14),"OVERDUE",""))</f>
        <v/>
      </c>
      <c r="L12" s="58"/>
      <c r="M12" s="24"/>
      <c r="N12" s="24"/>
      <c r="O12" s="24"/>
      <c r="P12" s="23"/>
    </row>
    <row r="13" customFormat="false" ht="18" hidden="false" customHeight="true" outlineLevel="0" collapsed="false">
      <c r="A13" s="27" t="n">
        <v>6</v>
      </c>
      <c r="B13" s="28"/>
      <c r="C13" s="28"/>
      <c r="D13" s="29"/>
      <c r="E13" s="29"/>
      <c r="F13" s="46"/>
      <c r="G13" s="47"/>
      <c r="H13" s="47"/>
      <c r="I13" s="47"/>
      <c r="J13" s="57"/>
      <c r="K13" s="43" t="str">
        <f aca="false">IF(AND(I13&lt;&gt;"",J13&lt;&gt;""),J13-I13,IF(AND(I13&lt;&gt;"",$B$3&gt;I13+14),"OVERDUE",""))</f>
        <v/>
      </c>
      <c r="L13" s="58"/>
      <c r="M13" s="29"/>
      <c r="N13" s="29"/>
      <c r="O13" s="29"/>
      <c r="P13" s="28"/>
    </row>
    <row r="14" customFormat="false" ht="18" hidden="false" customHeight="true" outlineLevel="0" collapsed="false">
      <c r="A14" s="22" t="n">
        <v>7</v>
      </c>
      <c r="B14" s="23"/>
      <c r="C14" s="23"/>
      <c r="D14" s="24"/>
      <c r="E14" s="24"/>
      <c r="F14" s="40"/>
      <c r="G14" s="42"/>
      <c r="H14" s="42"/>
      <c r="I14" s="42"/>
      <c r="J14" s="57"/>
      <c r="K14" s="43" t="str">
        <f aca="false">IF(AND(I14&lt;&gt;"",J14&lt;&gt;""),J14-I14,IF(AND(I14&lt;&gt;"",$B$3&gt;I14+14),"OVERDUE",""))</f>
        <v/>
      </c>
      <c r="L14" s="58"/>
      <c r="M14" s="24"/>
      <c r="N14" s="24"/>
      <c r="O14" s="24"/>
      <c r="P14" s="23"/>
    </row>
    <row r="15" customFormat="false" ht="18" hidden="false" customHeight="true" outlineLevel="0" collapsed="false">
      <c r="A15" s="27" t="n">
        <v>8</v>
      </c>
      <c r="B15" s="28"/>
      <c r="C15" s="28"/>
      <c r="D15" s="29"/>
      <c r="E15" s="29"/>
      <c r="F15" s="46"/>
      <c r="G15" s="47"/>
      <c r="H15" s="47"/>
      <c r="I15" s="47"/>
      <c r="J15" s="57"/>
      <c r="K15" s="43" t="str">
        <f aca="false">IF(AND(I15&lt;&gt;"",J15&lt;&gt;""),J15-I15,IF(AND(I15&lt;&gt;"",$B$3&gt;I15+14),"OVERDUE",""))</f>
        <v/>
      </c>
      <c r="L15" s="58"/>
      <c r="M15" s="29"/>
      <c r="N15" s="29"/>
      <c r="O15" s="29"/>
      <c r="P15" s="28"/>
    </row>
    <row r="16" customFormat="false" ht="18" hidden="false" customHeight="true" outlineLevel="0" collapsed="false">
      <c r="A16" s="22" t="n">
        <v>9</v>
      </c>
      <c r="B16" s="23"/>
      <c r="C16" s="23"/>
      <c r="D16" s="24"/>
      <c r="E16" s="24"/>
      <c r="F16" s="40"/>
      <c r="G16" s="42"/>
      <c r="H16" s="42"/>
      <c r="I16" s="42"/>
      <c r="J16" s="57"/>
      <c r="K16" s="43" t="str">
        <f aca="false">IF(AND(I16&lt;&gt;"",J16&lt;&gt;""),J16-I16,IF(AND(I16&lt;&gt;"",$B$3&gt;I16+14),"OVERDUE",""))</f>
        <v/>
      </c>
      <c r="L16" s="58"/>
      <c r="M16" s="24"/>
      <c r="N16" s="24"/>
      <c r="O16" s="24"/>
      <c r="P16" s="23"/>
    </row>
    <row r="17" customFormat="false" ht="18" hidden="false" customHeight="true" outlineLevel="0" collapsed="false">
      <c r="A17" s="27" t="n">
        <v>10</v>
      </c>
      <c r="B17" s="28"/>
      <c r="C17" s="28"/>
      <c r="D17" s="29"/>
      <c r="E17" s="29"/>
      <c r="F17" s="46"/>
      <c r="G17" s="47"/>
      <c r="H17" s="47"/>
      <c r="I17" s="47"/>
      <c r="J17" s="57"/>
      <c r="K17" s="43" t="str">
        <f aca="false">IF(AND(I17&lt;&gt;"",J17&lt;&gt;""),J17-I17,IF(AND(I17&lt;&gt;"",$B$3&gt;I17+14),"OVERDUE",""))</f>
        <v/>
      </c>
      <c r="L17" s="58"/>
      <c r="M17" s="29"/>
      <c r="N17" s="29"/>
      <c r="O17" s="29"/>
      <c r="P17" s="28"/>
    </row>
    <row r="18" customFormat="false" ht="18" hidden="false" customHeight="true" outlineLevel="0" collapsed="false">
      <c r="A18" s="22" t="n">
        <v>11</v>
      </c>
      <c r="B18" s="23"/>
      <c r="C18" s="23"/>
      <c r="D18" s="24"/>
      <c r="E18" s="24"/>
      <c r="F18" s="40"/>
      <c r="G18" s="42"/>
      <c r="H18" s="42"/>
      <c r="I18" s="42"/>
      <c r="J18" s="57"/>
      <c r="K18" s="43" t="str">
        <f aca="false">IF(AND(I18&lt;&gt;"",J18&lt;&gt;""),J18-I18,IF(AND(I18&lt;&gt;"",$B$3&gt;I18+14),"OVERDUE",""))</f>
        <v/>
      </c>
      <c r="L18" s="58"/>
      <c r="M18" s="24"/>
      <c r="N18" s="24"/>
      <c r="O18" s="24"/>
      <c r="P18" s="23"/>
    </row>
    <row r="19" customFormat="false" ht="18" hidden="false" customHeight="true" outlineLevel="0" collapsed="false">
      <c r="A19" s="27" t="n">
        <v>12</v>
      </c>
      <c r="B19" s="28"/>
      <c r="C19" s="28"/>
      <c r="D19" s="29"/>
      <c r="E19" s="29"/>
      <c r="F19" s="46"/>
      <c r="G19" s="47"/>
      <c r="H19" s="47"/>
      <c r="I19" s="47"/>
      <c r="J19" s="57"/>
      <c r="K19" s="43" t="str">
        <f aca="false">IF(AND(I19&lt;&gt;"",J19&lt;&gt;""),J19-I19,IF(AND(I19&lt;&gt;"",$B$3&gt;I19+14),"OVERDUE",""))</f>
        <v/>
      </c>
      <c r="L19" s="58"/>
      <c r="M19" s="29"/>
      <c r="N19" s="29"/>
      <c r="O19" s="29"/>
      <c r="P19" s="28"/>
    </row>
    <row r="20" customFormat="false" ht="18" hidden="false" customHeight="true" outlineLevel="0" collapsed="false">
      <c r="A20" s="22" t="n">
        <v>13</v>
      </c>
      <c r="B20" s="23"/>
      <c r="C20" s="23"/>
      <c r="D20" s="24"/>
      <c r="E20" s="24"/>
      <c r="F20" s="40"/>
      <c r="G20" s="42"/>
      <c r="H20" s="42"/>
      <c r="I20" s="42"/>
      <c r="J20" s="57"/>
      <c r="K20" s="43" t="str">
        <f aca="false">IF(AND(I20&lt;&gt;"",J20&lt;&gt;""),J20-I20,IF(AND(I20&lt;&gt;"",$B$3&gt;I20+14),"OVERDUE",""))</f>
        <v/>
      </c>
      <c r="L20" s="58"/>
      <c r="M20" s="24"/>
      <c r="N20" s="24"/>
      <c r="O20" s="24"/>
      <c r="P20" s="23"/>
    </row>
    <row r="21" customFormat="false" ht="18" hidden="false" customHeight="true" outlineLevel="0" collapsed="false">
      <c r="A21" s="27" t="n">
        <v>14</v>
      </c>
      <c r="B21" s="28"/>
      <c r="C21" s="28"/>
      <c r="D21" s="29"/>
      <c r="E21" s="29"/>
      <c r="F21" s="46"/>
      <c r="G21" s="47"/>
      <c r="H21" s="47"/>
      <c r="I21" s="47"/>
      <c r="J21" s="57"/>
      <c r="K21" s="43" t="str">
        <f aca="false">IF(AND(I21&lt;&gt;"",J21&lt;&gt;""),J21-I21,IF(AND(I21&lt;&gt;"",$B$3&gt;I21+14),"OVERDUE",""))</f>
        <v/>
      </c>
      <c r="L21" s="58"/>
      <c r="M21" s="29"/>
      <c r="N21" s="29"/>
      <c r="O21" s="29"/>
      <c r="P21" s="28"/>
    </row>
    <row r="22" customFormat="false" ht="18" hidden="false" customHeight="true" outlineLevel="0" collapsed="false">
      <c r="A22" s="22" t="n">
        <v>15</v>
      </c>
      <c r="B22" s="23"/>
      <c r="C22" s="23"/>
      <c r="D22" s="24"/>
      <c r="E22" s="24"/>
      <c r="F22" s="40"/>
      <c r="G22" s="42"/>
      <c r="H22" s="42"/>
      <c r="I22" s="42"/>
      <c r="J22" s="57"/>
      <c r="K22" s="43" t="str">
        <f aca="false">IF(AND(I22&lt;&gt;"",J22&lt;&gt;""),J22-I22,IF(AND(I22&lt;&gt;"",$B$3&gt;I22+14),"OVERDUE",""))</f>
        <v/>
      </c>
      <c r="L22" s="58"/>
      <c r="M22" s="24"/>
      <c r="N22" s="24"/>
      <c r="O22" s="24"/>
      <c r="P22" s="23"/>
    </row>
    <row r="23" customFormat="false" ht="18" hidden="false" customHeight="true" outlineLevel="0" collapsed="false">
      <c r="A23" s="27" t="n">
        <v>16</v>
      </c>
      <c r="B23" s="28"/>
      <c r="C23" s="28"/>
      <c r="D23" s="29"/>
      <c r="E23" s="29"/>
      <c r="F23" s="46"/>
      <c r="G23" s="47"/>
      <c r="H23" s="47"/>
      <c r="I23" s="47"/>
      <c r="J23" s="57"/>
      <c r="K23" s="43" t="str">
        <f aca="false">IF(AND(I23&lt;&gt;"",J23&lt;&gt;""),J23-I23,IF(AND(I23&lt;&gt;"",$B$3&gt;I23+14),"OVERDUE",""))</f>
        <v/>
      </c>
      <c r="L23" s="58"/>
      <c r="M23" s="29"/>
      <c r="N23" s="29"/>
      <c r="O23" s="29"/>
      <c r="P23" s="28"/>
    </row>
    <row r="24" customFormat="false" ht="18" hidden="false" customHeight="true" outlineLevel="0" collapsed="false">
      <c r="A24" s="22" t="n">
        <v>17</v>
      </c>
      <c r="B24" s="23"/>
      <c r="C24" s="23"/>
      <c r="D24" s="24"/>
      <c r="E24" s="24"/>
      <c r="F24" s="40"/>
      <c r="G24" s="42"/>
      <c r="H24" s="42"/>
      <c r="I24" s="42"/>
      <c r="J24" s="57"/>
      <c r="K24" s="43" t="str">
        <f aca="false">IF(AND(I24&lt;&gt;"",J24&lt;&gt;""),J24-I24,IF(AND(I24&lt;&gt;"",$B$3&gt;I24+14),"OVERDUE",""))</f>
        <v/>
      </c>
      <c r="L24" s="58"/>
      <c r="M24" s="24"/>
      <c r="N24" s="24"/>
      <c r="O24" s="24"/>
      <c r="P24" s="23"/>
    </row>
    <row r="25" customFormat="false" ht="18" hidden="false" customHeight="true" outlineLevel="0" collapsed="false">
      <c r="A25" s="27" t="n">
        <v>18</v>
      </c>
      <c r="B25" s="28"/>
      <c r="C25" s="28"/>
      <c r="D25" s="29"/>
      <c r="E25" s="29"/>
      <c r="F25" s="46"/>
      <c r="G25" s="47"/>
      <c r="H25" s="47"/>
      <c r="I25" s="47"/>
      <c r="J25" s="57"/>
      <c r="K25" s="43" t="str">
        <f aca="false">IF(AND(I25&lt;&gt;"",J25&lt;&gt;""),J25-I25,IF(AND(I25&lt;&gt;"",$B$3&gt;I25+14),"OVERDUE",""))</f>
        <v/>
      </c>
      <c r="L25" s="58"/>
      <c r="M25" s="29"/>
      <c r="N25" s="29"/>
      <c r="O25" s="29"/>
      <c r="P25" s="28"/>
    </row>
    <row r="26" customFormat="false" ht="18" hidden="false" customHeight="true" outlineLevel="0" collapsed="false">
      <c r="A26" s="22" t="n">
        <v>19</v>
      </c>
      <c r="B26" s="23"/>
      <c r="C26" s="23"/>
      <c r="D26" s="24"/>
      <c r="E26" s="24"/>
      <c r="F26" s="40"/>
      <c r="G26" s="42"/>
      <c r="H26" s="42"/>
      <c r="I26" s="42"/>
      <c r="J26" s="57"/>
      <c r="K26" s="43" t="str">
        <f aca="false">IF(AND(I26&lt;&gt;"",J26&lt;&gt;""),J26-I26,IF(AND(I26&lt;&gt;"",$B$3&gt;I26+14),"OVERDUE",""))</f>
        <v/>
      </c>
      <c r="L26" s="58"/>
      <c r="M26" s="24"/>
      <c r="N26" s="24"/>
      <c r="O26" s="24"/>
      <c r="P26" s="23"/>
    </row>
    <row r="27" customFormat="false" ht="18" hidden="false" customHeight="true" outlineLevel="0" collapsed="false">
      <c r="A27" s="27" t="n">
        <v>20</v>
      </c>
      <c r="B27" s="28"/>
      <c r="C27" s="28"/>
      <c r="D27" s="29"/>
      <c r="E27" s="29"/>
      <c r="F27" s="46"/>
      <c r="G27" s="47"/>
      <c r="H27" s="47"/>
      <c r="I27" s="47"/>
      <c r="J27" s="57"/>
      <c r="K27" s="43" t="str">
        <f aca="false">IF(AND(I27&lt;&gt;"",J27&lt;&gt;""),J27-I27,IF(AND(I27&lt;&gt;"",$B$3&gt;I27+14),"OVERDUE",""))</f>
        <v/>
      </c>
      <c r="L27" s="58"/>
      <c r="M27" s="29"/>
      <c r="N27" s="29"/>
      <c r="O27" s="29"/>
      <c r="P27" s="28"/>
    </row>
    <row r="28" customFormat="false" ht="18" hidden="false" customHeight="true" outlineLevel="0" collapsed="false">
      <c r="A28" s="22" t="n">
        <v>21</v>
      </c>
      <c r="B28" s="23"/>
      <c r="C28" s="23"/>
      <c r="D28" s="24"/>
      <c r="E28" s="24"/>
      <c r="F28" s="40"/>
      <c r="G28" s="42"/>
      <c r="H28" s="42"/>
      <c r="I28" s="42"/>
      <c r="J28" s="57"/>
      <c r="K28" s="43" t="str">
        <f aca="false">IF(AND(I28&lt;&gt;"",J28&lt;&gt;""),J28-I28,IF(AND(I28&lt;&gt;"",$B$3&gt;I28+14),"OVERDUE",""))</f>
        <v/>
      </c>
      <c r="L28" s="58"/>
      <c r="M28" s="24"/>
      <c r="N28" s="24"/>
      <c r="O28" s="24"/>
      <c r="P28" s="23"/>
    </row>
    <row r="29" customFormat="false" ht="18" hidden="false" customHeight="true" outlineLevel="0" collapsed="false">
      <c r="A29" s="27" t="n">
        <v>22</v>
      </c>
      <c r="B29" s="28"/>
      <c r="C29" s="28"/>
      <c r="D29" s="29"/>
      <c r="E29" s="29"/>
      <c r="F29" s="46"/>
      <c r="G29" s="47"/>
      <c r="H29" s="47"/>
      <c r="I29" s="47"/>
      <c r="J29" s="57"/>
      <c r="K29" s="43" t="str">
        <f aca="false">IF(AND(I29&lt;&gt;"",J29&lt;&gt;""),J29-I29,IF(AND(I29&lt;&gt;"",$B$3&gt;I29+14),"OVERDUE",""))</f>
        <v/>
      </c>
      <c r="L29" s="58"/>
      <c r="M29" s="29"/>
      <c r="N29" s="29"/>
      <c r="O29" s="29"/>
      <c r="P29" s="28"/>
    </row>
    <row r="30" customFormat="false" ht="18" hidden="false" customHeight="true" outlineLevel="0" collapsed="false">
      <c r="A30" s="22" t="n">
        <v>23</v>
      </c>
      <c r="B30" s="23"/>
      <c r="C30" s="23"/>
      <c r="D30" s="24"/>
      <c r="E30" s="24"/>
      <c r="F30" s="40"/>
      <c r="G30" s="42"/>
      <c r="H30" s="42"/>
      <c r="I30" s="42"/>
      <c r="J30" s="57"/>
      <c r="K30" s="43" t="str">
        <f aca="false">IF(AND(I30&lt;&gt;"",J30&lt;&gt;""),J30-I30,IF(AND(I30&lt;&gt;"",$B$3&gt;I30+14),"OVERDUE",""))</f>
        <v/>
      </c>
      <c r="L30" s="58"/>
      <c r="M30" s="24"/>
      <c r="N30" s="24"/>
      <c r="O30" s="24"/>
      <c r="P30" s="23"/>
    </row>
    <row r="31" customFormat="false" ht="18" hidden="false" customHeight="true" outlineLevel="0" collapsed="false">
      <c r="A31" s="27" t="n">
        <v>24</v>
      </c>
      <c r="B31" s="28"/>
      <c r="C31" s="28"/>
      <c r="D31" s="29"/>
      <c r="E31" s="29"/>
      <c r="F31" s="46"/>
      <c r="G31" s="47"/>
      <c r="H31" s="47"/>
      <c r="I31" s="47"/>
      <c r="J31" s="57"/>
      <c r="K31" s="43" t="str">
        <f aca="false">IF(AND(I31&lt;&gt;"",J31&lt;&gt;""),J31-I31,IF(AND(I31&lt;&gt;"",$B$3&gt;I31+14),"OVERDUE",""))</f>
        <v/>
      </c>
      <c r="L31" s="58"/>
      <c r="M31" s="29"/>
      <c r="N31" s="29"/>
      <c r="O31" s="29"/>
      <c r="P31" s="28"/>
    </row>
    <row r="32" customFormat="false" ht="18" hidden="false" customHeight="true" outlineLevel="0" collapsed="false">
      <c r="A32" s="22" t="n">
        <v>25</v>
      </c>
      <c r="B32" s="23"/>
      <c r="C32" s="23"/>
      <c r="D32" s="24"/>
      <c r="E32" s="24"/>
      <c r="F32" s="40"/>
      <c r="G32" s="42"/>
      <c r="H32" s="42"/>
      <c r="I32" s="42"/>
      <c r="J32" s="57"/>
      <c r="K32" s="43" t="str">
        <f aca="false">IF(AND(I32&lt;&gt;"",J32&lt;&gt;""),J32-I32,IF(AND(I32&lt;&gt;"",$B$3&gt;I32+14),"OVERDUE",""))</f>
        <v/>
      </c>
      <c r="L32" s="58"/>
      <c r="M32" s="24"/>
      <c r="N32" s="24"/>
      <c r="O32" s="24"/>
      <c r="P32" s="23"/>
    </row>
    <row r="33" customFormat="false" ht="18" hidden="false" customHeight="true" outlineLevel="0" collapsed="false">
      <c r="A33" s="27" t="n">
        <v>26</v>
      </c>
      <c r="B33" s="28"/>
      <c r="C33" s="28"/>
      <c r="D33" s="29"/>
      <c r="E33" s="29"/>
      <c r="F33" s="46"/>
      <c r="G33" s="47"/>
      <c r="H33" s="47"/>
      <c r="I33" s="47"/>
      <c r="J33" s="57"/>
      <c r="K33" s="43" t="str">
        <f aca="false">IF(AND(I33&lt;&gt;"",J33&lt;&gt;""),J33-I33,IF(AND(I33&lt;&gt;"",$B$3&gt;I33+14),"OVERDUE",""))</f>
        <v/>
      </c>
      <c r="L33" s="58"/>
      <c r="M33" s="29"/>
      <c r="N33" s="29"/>
      <c r="O33" s="29"/>
      <c r="P33" s="28"/>
    </row>
    <row r="34" customFormat="false" ht="18" hidden="false" customHeight="true" outlineLevel="0" collapsed="false">
      <c r="A34" s="22" t="n">
        <v>27</v>
      </c>
      <c r="B34" s="23"/>
      <c r="C34" s="23"/>
      <c r="D34" s="24"/>
      <c r="E34" s="24"/>
      <c r="F34" s="40"/>
      <c r="G34" s="42"/>
      <c r="H34" s="42"/>
      <c r="I34" s="42"/>
      <c r="J34" s="57"/>
      <c r="K34" s="43" t="str">
        <f aca="false">IF(AND(I34&lt;&gt;"",J34&lt;&gt;""),J34-I34,IF(AND(I34&lt;&gt;"",$B$3&gt;I34+14),"OVERDUE",""))</f>
        <v/>
      </c>
      <c r="L34" s="58"/>
      <c r="M34" s="24"/>
      <c r="N34" s="24"/>
      <c r="O34" s="24"/>
      <c r="P34" s="23"/>
    </row>
    <row r="35" customFormat="false" ht="18" hidden="false" customHeight="true" outlineLevel="0" collapsed="false">
      <c r="A35" s="27" t="n">
        <v>28</v>
      </c>
      <c r="B35" s="28"/>
      <c r="C35" s="28"/>
      <c r="D35" s="29"/>
      <c r="E35" s="29"/>
      <c r="F35" s="46"/>
      <c r="G35" s="47"/>
      <c r="H35" s="47"/>
      <c r="I35" s="47"/>
      <c r="J35" s="57"/>
      <c r="K35" s="43" t="str">
        <f aca="false">IF(AND(I35&lt;&gt;"",J35&lt;&gt;""),J35-I35,IF(AND(I35&lt;&gt;"",$B$3&gt;I35+14),"OVERDUE",""))</f>
        <v/>
      </c>
      <c r="L35" s="58"/>
      <c r="M35" s="29"/>
      <c r="N35" s="29"/>
      <c r="O35" s="29"/>
      <c r="P35" s="28"/>
    </row>
    <row r="36" customFormat="false" ht="18" hidden="false" customHeight="true" outlineLevel="0" collapsed="false">
      <c r="A36" s="22" t="n">
        <v>29</v>
      </c>
      <c r="B36" s="23"/>
      <c r="C36" s="23"/>
      <c r="D36" s="24"/>
      <c r="E36" s="24"/>
      <c r="F36" s="40"/>
      <c r="G36" s="42"/>
      <c r="H36" s="42"/>
      <c r="I36" s="42"/>
      <c r="J36" s="57"/>
      <c r="K36" s="43" t="str">
        <f aca="false">IF(AND(I36&lt;&gt;"",J36&lt;&gt;""),J36-I36,IF(AND(I36&lt;&gt;"",$B$3&gt;I36+14),"OVERDUE",""))</f>
        <v/>
      </c>
      <c r="L36" s="58"/>
      <c r="M36" s="24"/>
      <c r="N36" s="24"/>
      <c r="O36" s="24"/>
      <c r="P36" s="23"/>
    </row>
    <row r="37" customFormat="false" ht="18" hidden="false" customHeight="true" outlineLevel="0" collapsed="false">
      <c r="A37" s="27" t="n">
        <v>30</v>
      </c>
      <c r="B37" s="28"/>
      <c r="C37" s="28"/>
      <c r="D37" s="29"/>
      <c r="E37" s="29"/>
      <c r="F37" s="46"/>
      <c r="G37" s="47"/>
      <c r="H37" s="47"/>
      <c r="I37" s="47"/>
      <c r="J37" s="57"/>
      <c r="K37" s="43" t="str">
        <f aca="false">IF(AND(I37&lt;&gt;"",J37&lt;&gt;""),J37-I37,IF(AND(I37&lt;&gt;"",$B$3&gt;I37+14),"OVERDUE",""))</f>
        <v/>
      </c>
      <c r="L37" s="58"/>
      <c r="M37" s="29"/>
      <c r="N37" s="29"/>
      <c r="O37" s="29"/>
      <c r="P37" s="28"/>
    </row>
    <row r="38" customFormat="false" ht="18" hidden="false" customHeight="true" outlineLevel="0" collapsed="false">
      <c r="A38" s="22" t="n">
        <v>31</v>
      </c>
      <c r="B38" s="23"/>
      <c r="C38" s="23"/>
      <c r="D38" s="24"/>
      <c r="E38" s="24"/>
      <c r="F38" s="40"/>
      <c r="G38" s="42"/>
      <c r="H38" s="42"/>
      <c r="I38" s="42"/>
      <c r="J38" s="57"/>
      <c r="K38" s="43" t="str">
        <f aca="false">IF(AND(I38&lt;&gt;"",J38&lt;&gt;""),J38-I38,IF(AND(I38&lt;&gt;"",$B$3&gt;I38+14),"OVERDUE",""))</f>
        <v/>
      </c>
      <c r="L38" s="58"/>
      <c r="M38" s="24"/>
      <c r="N38" s="24"/>
      <c r="O38" s="24"/>
      <c r="P38" s="23"/>
    </row>
    <row r="39" customFormat="false" ht="18" hidden="false" customHeight="true" outlineLevel="0" collapsed="false">
      <c r="A39" s="27" t="n">
        <v>32</v>
      </c>
      <c r="B39" s="28"/>
      <c r="C39" s="28"/>
      <c r="D39" s="29"/>
      <c r="E39" s="29"/>
      <c r="F39" s="46"/>
      <c r="G39" s="47"/>
      <c r="H39" s="47"/>
      <c r="I39" s="47"/>
      <c r="J39" s="57"/>
      <c r="K39" s="43" t="str">
        <f aca="false">IF(AND(I39&lt;&gt;"",J39&lt;&gt;""),J39-I39,IF(AND(I39&lt;&gt;"",$B$3&gt;I39+14),"OVERDUE",""))</f>
        <v/>
      </c>
      <c r="L39" s="58"/>
      <c r="M39" s="29"/>
      <c r="N39" s="29"/>
      <c r="O39" s="29"/>
      <c r="P39" s="28"/>
    </row>
    <row r="40" customFormat="false" ht="18" hidden="false" customHeight="true" outlineLevel="0" collapsed="false">
      <c r="A40" s="22" t="n">
        <v>33</v>
      </c>
      <c r="B40" s="23"/>
      <c r="C40" s="23"/>
      <c r="D40" s="24"/>
      <c r="E40" s="24"/>
      <c r="F40" s="40"/>
      <c r="G40" s="42"/>
      <c r="H40" s="42"/>
      <c r="I40" s="42"/>
      <c r="J40" s="57"/>
      <c r="K40" s="43" t="str">
        <f aca="false">IF(AND(I40&lt;&gt;"",J40&lt;&gt;""),J40-I40,IF(AND(I40&lt;&gt;"",$B$3&gt;I40+14),"OVERDUE",""))</f>
        <v/>
      </c>
      <c r="L40" s="58"/>
      <c r="M40" s="24"/>
      <c r="N40" s="24"/>
      <c r="O40" s="24"/>
      <c r="P40" s="23"/>
    </row>
    <row r="41" customFormat="false" ht="18" hidden="false" customHeight="true" outlineLevel="0" collapsed="false">
      <c r="A41" s="27" t="n">
        <v>34</v>
      </c>
      <c r="B41" s="28"/>
      <c r="C41" s="28"/>
      <c r="D41" s="29"/>
      <c r="E41" s="29"/>
      <c r="F41" s="46"/>
      <c r="G41" s="47"/>
      <c r="H41" s="47"/>
      <c r="I41" s="47"/>
      <c r="J41" s="57"/>
      <c r="K41" s="43" t="str">
        <f aca="false">IF(AND(I41&lt;&gt;"",J41&lt;&gt;""),J41-I41,IF(AND(I41&lt;&gt;"",$B$3&gt;I41+14),"OVERDUE",""))</f>
        <v/>
      </c>
      <c r="L41" s="58"/>
      <c r="M41" s="29"/>
      <c r="N41" s="29"/>
      <c r="O41" s="29"/>
      <c r="P41" s="28"/>
    </row>
    <row r="42" customFormat="false" ht="18" hidden="false" customHeight="true" outlineLevel="0" collapsed="false">
      <c r="A42" s="22" t="n">
        <v>35</v>
      </c>
      <c r="B42" s="23"/>
      <c r="C42" s="23"/>
      <c r="D42" s="24"/>
      <c r="E42" s="24"/>
      <c r="F42" s="40"/>
      <c r="G42" s="42"/>
      <c r="H42" s="42"/>
      <c r="I42" s="42"/>
      <c r="J42" s="57"/>
      <c r="K42" s="43" t="str">
        <f aca="false">IF(AND(I42&lt;&gt;"",J42&lt;&gt;""),J42-I42,IF(AND(I42&lt;&gt;"",$B$3&gt;I42+14),"OVERDUE",""))</f>
        <v/>
      </c>
      <c r="L42" s="58"/>
      <c r="M42" s="24"/>
      <c r="N42" s="24"/>
      <c r="O42" s="24"/>
      <c r="P42" s="23"/>
    </row>
    <row r="43" customFormat="false" ht="18" hidden="false" customHeight="true" outlineLevel="0" collapsed="false">
      <c r="A43" s="27" t="n">
        <v>36</v>
      </c>
      <c r="B43" s="28"/>
      <c r="C43" s="28"/>
      <c r="D43" s="29"/>
      <c r="E43" s="29"/>
      <c r="F43" s="46"/>
      <c r="G43" s="47"/>
      <c r="H43" s="47"/>
      <c r="I43" s="47"/>
      <c r="J43" s="57"/>
      <c r="K43" s="43" t="str">
        <f aca="false">IF(AND(I43&lt;&gt;"",J43&lt;&gt;""),J43-I43,IF(AND(I43&lt;&gt;"",$B$3&gt;I43+14),"OVERDUE",""))</f>
        <v/>
      </c>
      <c r="L43" s="58"/>
      <c r="M43" s="29"/>
      <c r="N43" s="29"/>
      <c r="O43" s="29"/>
      <c r="P43" s="28"/>
    </row>
    <row r="44" customFormat="false" ht="18" hidden="false" customHeight="true" outlineLevel="0" collapsed="false">
      <c r="A44" s="22" t="n">
        <v>37</v>
      </c>
      <c r="B44" s="23"/>
      <c r="C44" s="23"/>
      <c r="D44" s="24"/>
      <c r="E44" s="24"/>
      <c r="F44" s="40"/>
      <c r="G44" s="42"/>
      <c r="H44" s="42"/>
      <c r="I44" s="42"/>
      <c r="J44" s="57"/>
      <c r="K44" s="43" t="str">
        <f aca="false">IF(AND(I44&lt;&gt;"",J44&lt;&gt;""),J44-I44,IF(AND(I44&lt;&gt;"",$B$3&gt;I44+14),"OVERDUE",""))</f>
        <v/>
      </c>
      <c r="L44" s="58"/>
      <c r="M44" s="24"/>
      <c r="N44" s="24"/>
      <c r="O44" s="24"/>
      <c r="P44" s="23"/>
    </row>
    <row r="45" customFormat="false" ht="18" hidden="false" customHeight="true" outlineLevel="0" collapsed="false">
      <c r="A45" s="27" t="n">
        <v>38</v>
      </c>
      <c r="B45" s="28"/>
      <c r="C45" s="28"/>
      <c r="D45" s="29"/>
      <c r="E45" s="29"/>
      <c r="F45" s="46"/>
      <c r="G45" s="47"/>
      <c r="H45" s="47"/>
      <c r="I45" s="47"/>
      <c r="J45" s="57"/>
      <c r="K45" s="43" t="str">
        <f aca="false">IF(AND(I45&lt;&gt;"",J45&lt;&gt;""),J45-I45,IF(AND(I45&lt;&gt;"",$B$3&gt;I45+14),"OVERDUE",""))</f>
        <v/>
      </c>
      <c r="L45" s="58"/>
      <c r="M45" s="29"/>
      <c r="N45" s="29"/>
      <c r="O45" s="29"/>
      <c r="P45" s="28"/>
    </row>
    <row r="46" customFormat="false" ht="18" hidden="false" customHeight="true" outlineLevel="0" collapsed="false">
      <c r="A46" s="22" t="n">
        <v>39</v>
      </c>
      <c r="B46" s="23"/>
      <c r="C46" s="23"/>
      <c r="D46" s="24"/>
      <c r="E46" s="24"/>
      <c r="F46" s="40"/>
      <c r="G46" s="42"/>
      <c r="H46" s="42"/>
      <c r="I46" s="42"/>
      <c r="J46" s="57"/>
      <c r="K46" s="43" t="str">
        <f aca="false">IF(AND(I46&lt;&gt;"",J46&lt;&gt;""),J46-I46,IF(AND(I46&lt;&gt;"",$B$3&gt;I46+14),"OVERDUE",""))</f>
        <v/>
      </c>
      <c r="L46" s="58"/>
      <c r="M46" s="24"/>
      <c r="N46" s="24"/>
      <c r="O46" s="24"/>
      <c r="P46" s="23"/>
    </row>
    <row r="47" customFormat="false" ht="18" hidden="false" customHeight="true" outlineLevel="0" collapsed="false">
      <c r="A47" s="27" t="n">
        <v>40</v>
      </c>
      <c r="B47" s="28"/>
      <c r="C47" s="28"/>
      <c r="D47" s="29"/>
      <c r="E47" s="29"/>
      <c r="F47" s="46"/>
      <c r="G47" s="47"/>
      <c r="H47" s="47"/>
      <c r="I47" s="47"/>
      <c r="J47" s="57"/>
      <c r="K47" s="43" t="str">
        <f aca="false">IF(AND(I47&lt;&gt;"",J47&lt;&gt;""),J47-I47,IF(AND(I47&lt;&gt;"",$B$3&gt;I47+14),"OVERDUE",""))</f>
        <v/>
      </c>
      <c r="L47" s="58"/>
      <c r="M47" s="29"/>
      <c r="N47" s="29"/>
      <c r="O47" s="29"/>
      <c r="P47" s="28"/>
    </row>
    <row r="48" customFormat="false" ht="18" hidden="false" customHeight="true" outlineLevel="0" collapsed="false">
      <c r="A48" s="22" t="n">
        <v>41</v>
      </c>
      <c r="B48" s="23"/>
      <c r="C48" s="23"/>
      <c r="D48" s="24"/>
      <c r="E48" s="24"/>
      <c r="F48" s="40"/>
      <c r="G48" s="42"/>
      <c r="H48" s="42"/>
      <c r="I48" s="42"/>
      <c r="J48" s="57"/>
      <c r="K48" s="43" t="str">
        <f aca="false">IF(AND(I48&lt;&gt;"",J48&lt;&gt;""),J48-I48,IF(AND(I48&lt;&gt;"",$B$3&gt;I48+14),"OVERDUE",""))</f>
        <v/>
      </c>
      <c r="L48" s="58"/>
      <c r="M48" s="24"/>
      <c r="N48" s="24"/>
      <c r="O48" s="24"/>
      <c r="P48" s="23"/>
    </row>
    <row r="49" customFormat="false" ht="18" hidden="false" customHeight="true" outlineLevel="0" collapsed="false">
      <c r="A49" s="27" t="n">
        <v>42</v>
      </c>
      <c r="B49" s="28"/>
      <c r="C49" s="28"/>
      <c r="D49" s="29"/>
      <c r="E49" s="29"/>
      <c r="F49" s="46"/>
      <c r="G49" s="47"/>
      <c r="H49" s="47"/>
      <c r="I49" s="47"/>
      <c r="J49" s="57"/>
      <c r="K49" s="43" t="str">
        <f aca="false">IF(AND(I49&lt;&gt;"",J49&lt;&gt;""),J49-I49,IF(AND(I49&lt;&gt;"",$B$3&gt;I49+14),"OVERDUE",""))</f>
        <v/>
      </c>
      <c r="L49" s="58"/>
      <c r="M49" s="29"/>
      <c r="N49" s="29"/>
      <c r="O49" s="29"/>
      <c r="P49" s="28"/>
    </row>
    <row r="50" customFormat="false" ht="18" hidden="false" customHeight="true" outlineLevel="0" collapsed="false">
      <c r="A50" s="22" t="n">
        <v>43</v>
      </c>
      <c r="B50" s="23"/>
      <c r="C50" s="23"/>
      <c r="D50" s="24"/>
      <c r="E50" s="24"/>
      <c r="F50" s="40"/>
      <c r="G50" s="42"/>
      <c r="H50" s="42"/>
      <c r="I50" s="42"/>
      <c r="J50" s="57"/>
      <c r="K50" s="43" t="str">
        <f aca="false">IF(AND(I50&lt;&gt;"",J50&lt;&gt;""),J50-I50,IF(AND(I50&lt;&gt;"",$B$3&gt;I50+14),"OVERDUE",""))</f>
        <v/>
      </c>
      <c r="L50" s="58"/>
      <c r="M50" s="24"/>
      <c r="N50" s="24"/>
      <c r="O50" s="24"/>
      <c r="P50" s="23"/>
    </row>
    <row r="51" customFormat="false" ht="18" hidden="false" customHeight="true" outlineLevel="0" collapsed="false">
      <c r="A51" s="27" t="n">
        <v>44</v>
      </c>
      <c r="B51" s="28"/>
      <c r="C51" s="28"/>
      <c r="D51" s="29"/>
      <c r="E51" s="29"/>
      <c r="F51" s="46"/>
      <c r="G51" s="47"/>
      <c r="H51" s="47"/>
      <c r="I51" s="47"/>
      <c r="J51" s="57"/>
      <c r="K51" s="43" t="str">
        <f aca="false">IF(AND(I51&lt;&gt;"",J51&lt;&gt;""),J51-I51,IF(AND(I51&lt;&gt;"",$B$3&gt;I51+14),"OVERDUE",""))</f>
        <v/>
      </c>
      <c r="L51" s="58"/>
      <c r="M51" s="29"/>
      <c r="N51" s="29"/>
      <c r="O51" s="29"/>
      <c r="P51" s="28"/>
    </row>
    <row r="52" customFormat="false" ht="18" hidden="false" customHeight="true" outlineLevel="0" collapsed="false">
      <c r="A52" s="22" t="n">
        <v>45</v>
      </c>
      <c r="B52" s="23"/>
      <c r="C52" s="23"/>
      <c r="D52" s="24"/>
      <c r="E52" s="24"/>
      <c r="F52" s="40"/>
      <c r="G52" s="42"/>
      <c r="H52" s="42"/>
      <c r="I52" s="42"/>
      <c r="J52" s="57"/>
      <c r="K52" s="43" t="str">
        <f aca="false">IF(AND(I52&lt;&gt;"",J52&lt;&gt;""),J52-I52,IF(AND(I52&lt;&gt;"",$B$3&gt;I52+14),"OVERDUE",""))</f>
        <v/>
      </c>
      <c r="L52" s="58"/>
      <c r="M52" s="24"/>
      <c r="N52" s="24"/>
      <c r="O52" s="24"/>
      <c r="P52" s="23"/>
    </row>
    <row r="53" customFormat="false" ht="18" hidden="false" customHeight="true" outlineLevel="0" collapsed="false">
      <c r="A53" s="27" t="n">
        <v>46</v>
      </c>
      <c r="B53" s="28"/>
      <c r="C53" s="28"/>
      <c r="D53" s="29"/>
      <c r="E53" s="29"/>
      <c r="F53" s="46"/>
      <c r="G53" s="47"/>
      <c r="H53" s="47"/>
      <c r="I53" s="47"/>
      <c r="J53" s="57"/>
      <c r="K53" s="43" t="str">
        <f aca="false">IF(AND(I53&lt;&gt;"",J53&lt;&gt;""),J53-I53,IF(AND(I53&lt;&gt;"",$B$3&gt;I53+14),"OVERDUE",""))</f>
        <v/>
      </c>
      <c r="L53" s="58"/>
      <c r="M53" s="29"/>
      <c r="N53" s="29"/>
      <c r="O53" s="29"/>
      <c r="P53" s="28"/>
    </row>
    <row r="54" customFormat="false" ht="18" hidden="false" customHeight="true" outlineLevel="0" collapsed="false">
      <c r="A54" s="22" t="n">
        <v>47</v>
      </c>
      <c r="B54" s="23"/>
      <c r="C54" s="23"/>
      <c r="D54" s="24"/>
      <c r="E54" s="24"/>
      <c r="F54" s="40"/>
      <c r="G54" s="42"/>
      <c r="H54" s="42"/>
      <c r="I54" s="42"/>
      <c r="J54" s="57"/>
      <c r="K54" s="43" t="str">
        <f aca="false">IF(AND(I54&lt;&gt;"",J54&lt;&gt;""),J54-I54,IF(AND(I54&lt;&gt;"",$B$3&gt;I54+14),"OVERDUE",""))</f>
        <v/>
      </c>
      <c r="L54" s="58"/>
      <c r="M54" s="24"/>
      <c r="N54" s="24"/>
      <c r="O54" s="24"/>
      <c r="P54" s="23"/>
    </row>
    <row r="55" customFormat="false" ht="18" hidden="false" customHeight="true" outlineLevel="0" collapsed="false">
      <c r="A55" s="27" t="n">
        <v>48</v>
      </c>
      <c r="B55" s="28"/>
      <c r="C55" s="28"/>
      <c r="D55" s="29"/>
      <c r="E55" s="29"/>
      <c r="F55" s="46"/>
      <c r="G55" s="47"/>
      <c r="H55" s="47"/>
      <c r="I55" s="47"/>
      <c r="J55" s="57"/>
      <c r="K55" s="43" t="str">
        <f aca="false">IF(AND(I55&lt;&gt;"",J55&lt;&gt;""),J55-I55,IF(AND(I55&lt;&gt;"",$B$3&gt;I55+14),"OVERDUE",""))</f>
        <v/>
      </c>
      <c r="L55" s="58"/>
      <c r="M55" s="29"/>
      <c r="N55" s="29"/>
      <c r="O55" s="29"/>
      <c r="P55" s="28"/>
    </row>
    <row r="56" customFormat="false" ht="18" hidden="false" customHeight="true" outlineLevel="0" collapsed="false">
      <c r="A56" s="22" t="n">
        <v>49</v>
      </c>
      <c r="B56" s="23"/>
      <c r="C56" s="23"/>
      <c r="D56" s="24"/>
      <c r="E56" s="24"/>
      <c r="F56" s="40"/>
      <c r="G56" s="42"/>
      <c r="H56" s="42"/>
      <c r="I56" s="42"/>
      <c r="J56" s="57"/>
      <c r="K56" s="43" t="str">
        <f aca="false">IF(AND(I56&lt;&gt;"",J56&lt;&gt;""),J56-I56,IF(AND(I56&lt;&gt;"",$B$3&gt;I56+14),"OVERDUE",""))</f>
        <v/>
      </c>
      <c r="L56" s="58"/>
      <c r="M56" s="24"/>
      <c r="N56" s="24"/>
      <c r="O56" s="24"/>
      <c r="P56" s="23"/>
    </row>
    <row r="57" customFormat="false" ht="18" hidden="false" customHeight="true" outlineLevel="0" collapsed="false">
      <c r="A57" s="27" t="n">
        <v>50</v>
      </c>
      <c r="B57" s="28"/>
      <c r="C57" s="28"/>
      <c r="D57" s="29"/>
      <c r="E57" s="29"/>
      <c r="F57" s="46"/>
      <c r="G57" s="47"/>
      <c r="H57" s="47"/>
      <c r="I57" s="47"/>
      <c r="J57" s="57"/>
      <c r="K57" s="43" t="str">
        <f aca="false">IF(AND(I57&lt;&gt;"",J57&lt;&gt;""),J57-I57,IF(AND(I57&lt;&gt;"",$B$3&gt;I57+14),"OVERDUE",""))</f>
        <v/>
      </c>
      <c r="L57" s="58"/>
      <c r="M57" s="29"/>
      <c r="N57" s="29"/>
      <c r="O57" s="29"/>
      <c r="P57" s="28"/>
    </row>
    <row r="58" customFormat="false" ht="18" hidden="false" customHeight="true" outlineLevel="0" collapsed="false">
      <c r="A58" s="22" t="n">
        <v>51</v>
      </c>
      <c r="B58" s="23"/>
      <c r="C58" s="23"/>
      <c r="D58" s="24"/>
      <c r="E58" s="24"/>
      <c r="F58" s="40"/>
      <c r="G58" s="42"/>
      <c r="H58" s="42"/>
      <c r="I58" s="42"/>
      <c r="J58" s="57"/>
      <c r="K58" s="43" t="str">
        <f aca="false">IF(AND(I58&lt;&gt;"",J58&lt;&gt;""),J58-I58,IF(AND(I58&lt;&gt;"",$B$3&gt;I58+14),"OVERDUE",""))</f>
        <v/>
      </c>
      <c r="L58" s="58"/>
      <c r="M58" s="24"/>
      <c r="N58" s="24"/>
      <c r="O58" s="24"/>
      <c r="P58" s="23"/>
    </row>
    <row r="59" customFormat="false" ht="18" hidden="false" customHeight="true" outlineLevel="0" collapsed="false">
      <c r="A59" s="27" t="n">
        <v>52</v>
      </c>
      <c r="B59" s="28"/>
      <c r="C59" s="28"/>
      <c r="D59" s="29"/>
      <c r="E59" s="29"/>
      <c r="F59" s="46"/>
      <c r="G59" s="47"/>
      <c r="H59" s="47"/>
      <c r="I59" s="47"/>
      <c r="J59" s="57"/>
      <c r="K59" s="43" t="str">
        <f aca="false">IF(AND(I59&lt;&gt;"",J59&lt;&gt;""),J59-I59,IF(AND(I59&lt;&gt;"",$B$3&gt;I59+14),"OVERDUE",""))</f>
        <v/>
      </c>
      <c r="L59" s="58"/>
      <c r="M59" s="29"/>
      <c r="N59" s="29"/>
      <c r="O59" s="29"/>
      <c r="P59" s="28"/>
    </row>
    <row r="60" customFormat="false" ht="18" hidden="false" customHeight="true" outlineLevel="0" collapsed="false">
      <c r="A60" s="22" t="n">
        <v>53</v>
      </c>
      <c r="B60" s="23"/>
      <c r="C60" s="23"/>
      <c r="D60" s="24"/>
      <c r="E60" s="24"/>
      <c r="F60" s="40"/>
      <c r="G60" s="42"/>
      <c r="H60" s="42"/>
      <c r="I60" s="42"/>
      <c r="J60" s="57"/>
      <c r="K60" s="43" t="str">
        <f aca="false">IF(AND(I60&lt;&gt;"",J60&lt;&gt;""),J60-I60,IF(AND(I60&lt;&gt;"",$B$3&gt;I60+14),"OVERDUE",""))</f>
        <v/>
      </c>
      <c r="L60" s="58"/>
      <c r="M60" s="24"/>
      <c r="N60" s="24"/>
      <c r="O60" s="24"/>
      <c r="P60" s="23"/>
    </row>
    <row r="61" customFormat="false" ht="18" hidden="false" customHeight="true" outlineLevel="0" collapsed="false">
      <c r="A61" s="27" t="n">
        <v>54</v>
      </c>
      <c r="B61" s="28"/>
      <c r="C61" s="28"/>
      <c r="D61" s="29"/>
      <c r="E61" s="29"/>
      <c r="F61" s="46"/>
      <c r="G61" s="47"/>
      <c r="H61" s="47"/>
      <c r="I61" s="47"/>
      <c r="J61" s="57"/>
      <c r="K61" s="43" t="str">
        <f aca="false">IF(AND(I61&lt;&gt;"",J61&lt;&gt;""),J61-I61,IF(AND(I61&lt;&gt;"",$B$3&gt;I61+14),"OVERDUE",""))</f>
        <v/>
      </c>
      <c r="L61" s="58"/>
      <c r="M61" s="29"/>
      <c r="N61" s="29"/>
      <c r="O61" s="29"/>
      <c r="P61" s="28"/>
    </row>
    <row r="62" customFormat="false" ht="18" hidden="false" customHeight="true" outlineLevel="0" collapsed="false">
      <c r="A62" s="22" t="n">
        <v>55</v>
      </c>
      <c r="B62" s="23"/>
      <c r="C62" s="23"/>
      <c r="D62" s="24"/>
      <c r="E62" s="24"/>
      <c r="F62" s="40"/>
      <c r="G62" s="42"/>
      <c r="H62" s="42"/>
      <c r="I62" s="42"/>
      <c r="J62" s="57"/>
      <c r="K62" s="43" t="str">
        <f aca="false">IF(AND(I62&lt;&gt;"",J62&lt;&gt;""),J62-I62,IF(AND(I62&lt;&gt;"",$B$3&gt;I62+14),"OVERDUE",""))</f>
        <v/>
      </c>
      <c r="L62" s="58"/>
      <c r="M62" s="24"/>
      <c r="N62" s="24"/>
      <c r="O62" s="24"/>
      <c r="P62" s="23"/>
    </row>
    <row r="63" customFormat="false" ht="18" hidden="false" customHeight="true" outlineLevel="0" collapsed="false">
      <c r="A63" s="27" t="n">
        <v>56</v>
      </c>
      <c r="B63" s="28"/>
      <c r="C63" s="28"/>
      <c r="D63" s="29"/>
      <c r="E63" s="29"/>
      <c r="F63" s="46"/>
      <c r="G63" s="47"/>
      <c r="H63" s="47"/>
      <c r="I63" s="47"/>
      <c r="J63" s="57"/>
      <c r="K63" s="43" t="str">
        <f aca="false">IF(AND(I63&lt;&gt;"",J63&lt;&gt;""),J63-I63,IF(AND(I63&lt;&gt;"",$B$3&gt;I63+14),"OVERDUE",""))</f>
        <v/>
      </c>
      <c r="L63" s="58"/>
      <c r="M63" s="29"/>
      <c r="N63" s="29"/>
      <c r="O63" s="29"/>
      <c r="P63" s="28"/>
    </row>
    <row r="64" customFormat="false" ht="18" hidden="false" customHeight="true" outlineLevel="0" collapsed="false">
      <c r="A64" s="22" t="n">
        <v>57</v>
      </c>
      <c r="B64" s="23"/>
      <c r="C64" s="23"/>
      <c r="D64" s="24"/>
      <c r="E64" s="24"/>
      <c r="F64" s="40"/>
      <c r="G64" s="42"/>
      <c r="H64" s="42"/>
      <c r="I64" s="42"/>
      <c r="J64" s="57"/>
      <c r="K64" s="43" t="str">
        <f aca="false">IF(AND(I64&lt;&gt;"",J64&lt;&gt;""),J64-I64,IF(AND(I64&lt;&gt;"",$B$3&gt;I64+14),"OVERDUE",""))</f>
        <v/>
      </c>
      <c r="L64" s="58"/>
      <c r="M64" s="24"/>
      <c r="N64" s="24"/>
      <c r="O64" s="24"/>
      <c r="P64" s="23"/>
    </row>
    <row r="65" customFormat="false" ht="18" hidden="false" customHeight="true" outlineLevel="0" collapsed="false">
      <c r="A65" s="27" t="n">
        <v>58</v>
      </c>
      <c r="B65" s="28"/>
      <c r="C65" s="28"/>
      <c r="D65" s="29"/>
      <c r="E65" s="29"/>
      <c r="F65" s="46"/>
      <c r="G65" s="47"/>
      <c r="H65" s="47"/>
      <c r="I65" s="47"/>
      <c r="J65" s="57"/>
      <c r="K65" s="43" t="str">
        <f aca="false">IF(AND(I65&lt;&gt;"",J65&lt;&gt;""),J65-I65,IF(AND(I65&lt;&gt;"",$B$3&gt;I65+14),"OVERDUE",""))</f>
        <v/>
      </c>
      <c r="L65" s="58"/>
      <c r="M65" s="29"/>
      <c r="N65" s="29"/>
      <c r="O65" s="29"/>
      <c r="P65" s="28"/>
    </row>
    <row r="66" customFormat="false" ht="18" hidden="false" customHeight="true" outlineLevel="0" collapsed="false">
      <c r="A66" s="22" t="n">
        <v>59</v>
      </c>
      <c r="B66" s="23"/>
      <c r="C66" s="23"/>
      <c r="D66" s="24"/>
      <c r="E66" s="24"/>
      <c r="F66" s="40"/>
      <c r="G66" s="42"/>
      <c r="H66" s="42"/>
      <c r="I66" s="42"/>
      <c r="J66" s="57"/>
      <c r="K66" s="43" t="str">
        <f aca="false">IF(AND(I66&lt;&gt;"",J66&lt;&gt;""),J66-I66,IF(AND(I66&lt;&gt;"",$B$3&gt;I66+14),"OVERDUE",""))</f>
        <v/>
      </c>
      <c r="L66" s="58"/>
      <c r="M66" s="24"/>
      <c r="N66" s="24"/>
      <c r="O66" s="24"/>
      <c r="P66" s="23"/>
    </row>
    <row r="67" customFormat="false" ht="18" hidden="false" customHeight="true" outlineLevel="0" collapsed="false">
      <c r="A67" s="27" t="n">
        <v>60</v>
      </c>
      <c r="B67" s="28"/>
      <c r="C67" s="28"/>
      <c r="D67" s="29"/>
      <c r="E67" s="29"/>
      <c r="F67" s="46"/>
      <c r="G67" s="47"/>
      <c r="H67" s="47"/>
      <c r="I67" s="47"/>
      <c r="J67" s="57"/>
      <c r="K67" s="43" t="str">
        <f aca="false">IF(AND(I67&lt;&gt;"",J67&lt;&gt;""),J67-I67,IF(AND(I67&lt;&gt;"",$B$3&gt;I67+14),"OVERDUE",""))</f>
        <v/>
      </c>
      <c r="L67" s="58"/>
      <c r="M67" s="29"/>
      <c r="N67" s="29"/>
      <c r="O67" s="29"/>
      <c r="P67" s="28"/>
    </row>
    <row r="68" customFormat="false" ht="18" hidden="false" customHeight="true" outlineLevel="0" collapsed="false">
      <c r="A68" s="22" t="n">
        <v>61</v>
      </c>
      <c r="B68" s="23"/>
      <c r="C68" s="23"/>
      <c r="D68" s="24"/>
      <c r="E68" s="24"/>
      <c r="F68" s="40"/>
      <c r="G68" s="42"/>
      <c r="H68" s="42"/>
      <c r="I68" s="42"/>
      <c r="J68" s="57"/>
      <c r="K68" s="43" t="str">
        <f aca="false">IF(AND(I68&lt;&gt;"",J68&lt;&gt;""),J68-I68,IF(AND(I68&lt;&gt;"",$B$3&gt;I68+14),"OVERDUE",""))</f>
        <v/>
      </c>
      <c r="L68" s="58"/>
      <c r="M68" s="24"/>
      <c r="N68" s="24"/>
      <c r="O68" s="24"/>
      <c r="P68" s="23"/>
    </row>
    <row r="69" customFormat="false" ht="18" hidden="false" customHeight="true" outlineLevel="0" collapsed="false">
      <c r="A69" s="27" t="n">
        <v>62</v>
      </c>
      <c r="B69" s="28"/>
      <c r="C69" s="28"/>
      <c r="D69" s="29"/>
      <c r="E69" s="29"/>
      <c r="F69" s="46"/>
      <c r="G69" s="47"/>
      <c r="H69" s="47"/>
      <c r="I69" s="47"/>
      <c r="J69" s="57"/>
      <c r="K69" s="43" t="str">
        <f aca="false">IF(AND(I69&lt;&gt;"",J69&lt;&gt;""),J69-I69,IF(AND(I69&lt;&gt;"",$B$3&gt;I69+14),"OVERDUE",""))</f>
        <v/>
      </c>
      <c r="L69" s="58"/>
      <c r="M69" s="29"/>
      <c r="N69" s="29"/>
      <c r="O69" s="29"/>
      <c r="P69" s="28"/>
    </row>
    <row r="70" customFormat="false" ht="18" hidden="false" customHeight="true" outlineLevel="0" collapsed="false">
      <c r="A70" s="22" t="n">
        <v>63</v>
      </c>
      <c r="B70" s="23"/>
      <c r="C70" s="23"/>
      <c r="D70" s="24"/>
      <c r="E70" s="24"/>
      <c r="F70" s="40"/>
      <c r="G70" s="42"/>
      <c r="H70" s="42"/>
      <c r="I70" s="42"/>
      <c r="J70" s="57"/>
      <c r="K70" s="43" t="str">
        <f aca="false">IF(AND(I70&lt;&gt;"",J70&lt;&gt;""),J70-I70,IF(AND(I70&lt;&gt;"",$B$3&gt;I70+14),"OVERDUE",""))</f>
        <v/>
      </c>
      <c r="L70" s="58"/>
      <c r="M70" s="24"/>
      <c r="N70" s="24"/>
      <c r="O70" s="24"/>
      <c r="P70" s="23"/>
    </row>
    <row r="71" customFormat="false" ht="18" hidden="false" customHeight="true" outlineLevel="0" collapsed="false">
      <c r="A71" s="27" t="n">
        <v>64</v>
      </c>
      <c r="B71" s="28"/>
      <c r="C71" s="28"/>
      <c r="D71" s="29"/>
      <c r="E71" s="29"/>
      <c r="F71" s="46"/>
      <c r="G71" s="47"/>
      <c r="H71" s="47"/>
      <c r="I71" s="47"/>
      <c r="J71" s="57"/>
      <c r="K71" s="43" t="str">
        <f aca="false">IF(AND(I71&lt;&gt;"",J71&lt;&gt;""),J71-I71,IF(AND(I71&lt;&gt;"",$B$3&gt;I71+14),"OVERDUE",""))</f>
        <v/>
      </c>
      <c r="L71" s="58"/>
      <c r="M71" s="29"/>
      <c r="N71" s="29"/>
      <c r="O71" s="29"/>
      <c r="P71" s="28"/>
    </row>
    <row r="72" customFormat="false" ht="18" hidden="false" customHeight="true" outlineLevel="0" collapsed="false">
      <c r="A72" s="22" t="n">
        <v>65</v>
      </c>
      <c r="B72" s="23"/>
      <c r="C72" s="23"/>
      <c r="D72" s="24"/>
      <c r="E72" s="24"/>
      <c r="F72" s="40"/>
      <c r="G72" s="42"/>
      <c r="H72" s="42"/>
      <c r="I72" s="42"/>
      <c r="J72" s="57"/>
      <c r="K72" s="43" t="str">
        <f aca="false">IF(AND(I72&lt;&gt;"",J72&lt;&gt;""),J72-I72,IF(AND(I72&lt;&gt;"",$B$3&gt;I72+14),"OVERDUE",""))</f>
        <v/>
      </c>
      <c r="L72" s="58"/>
      <c r="M72" s="24"/>
      <c r="N72" s="24"/>
      <c r="O72" s="24"/>
      <c r="P72" s="23"/>
    </row>
    <row r="73" customFormat="false" ht="18" hidden="false" customHeight="true" outlineLevel="0" collapsed="false">
      <c r="A73" s="27" t="n">
        <v>66</v>
      </c>
      <c r="B73" s="28"/>
      <c r="C73" s="28"/>
      <c r="D73" s="29"/>
      <c r="E73" s="29"/>
      <c r="F73" s="46"/>
      <c r="G73" s="47"/>
      <c r="H73" s="47"/>
      <c r="I73" s="47"/>
      <c r="J73" s="57"/>
      <c r="K73" s="43" t="str">
        <f aca="false">IF(AND(I73&lt;&gt;"",J73&lt;&gt;""),J73-I73,IF(AND(I73&lt;&gt;"",$B$3&gt;I73+14),"OVERDUE",""))</f>
        <v/>
      </c>
      <c r="L73" s="58"/>
      <c r="M73" s="29"/>
      <c r="N73" s="29"/>
      <c r="O73" s="29"/>
      <c r="P73" s="28"/>
    </row>
    <row r="74" customFormat="false" ht="18" hidden="false" customHeight="true" outlineLevel="0" collapsed="false">
      <c r="A74" s="22" t="n">
        <v>67</v>
      </c>
      <c r="B74" s="23"/>
      <c r="C74" s="23"/>
      <c r="D74" s="24"/>
      <c r="E74" s="24"/>
      <c r="F74" s="40"/>
      <c r="G74" s="42"/>
      <c r="H74" s="42"/>
      <c r="I74" s="42"/>
      <c r="J74" s="57"/>
      <c r="K74" s="43" t="str">
        <f aca="false">IF(AND(I74&lt;&gt;"",J74&lt;&gt;""),J74-I74,IF(AND(I74&lt;&gt;"",$B$3&gt;I74+14),"OVERDUE",""))</f>
        <v/>
      </c>
      <c r="L74" s="58"/>
      <c r="M74" s="24"/>
      <c r="N74" s="24"/>
      <c r="O74" s="24"/>
      <c r="P74" s="23"/>
    </row>
    <row r="75" customFormat="false" ht="18" hidden="false" customHeight="true" outlineLevel="0" collapsed="false">
      <c r="A75" s="27" t="n">
        <v>68</v>
      </c>
      <c r="B75" s="28"/>
      <c r="C75" s="28"/>
      <c r="D75" s="29"/>
      <c r="E75" s="29"/>
      <c r="F75" s="46"/>
      <c r="G75" s="47"/>
      <c r="H75" s="47"/>
      <c r="I75" s="47"/>
      <c r="J75" s="57"/>
      <c r="K75" s="43" t="str">
        <f aca="false">IF(AND(I75&lt;&gt;"",J75&lt;&gt;""),J75-I75,IF(AND(I75&lt;&gt;"",$B$3&gt;I75+14),"OVERDUE",""))</f>
        <v/>
      </c>
      <c r="L75" s="58"/>
      <c r="M75" s="29"/>
      <c r="N75" s="29"/>
      <c r="O75" s="29"/>
      <c r="P75" s="28"/>
    </row>
    <row r="76" customFormat="false" ht="18" hidden="false" customHeight="true" outlineLevel="0" collapsed="false">
      <c r="A76" s="22" t="n">
        <v>69</v>
      </c>
      <c r="B76" s="23"/>
      <c r="C76" s="23"/>
      <c r="D76" s="24"/>
      <c r="E76" s="24"/>
      <c r="F76" s="40"/>
      <c r="G76" s="42"/>
      <c r="H76" s="42"/>
      <c r="I76" s="42"/>
      <c r="J76" s="57"/>
      <c r="K76" s="43" t="str">
        <f aca="false">IF(AND(I76&lt;&gt;"",J76&lt;&gt;""),J76-I76,IF(AND(I76&lt;&gt;"",$B$3&gt;I76+14),"OVERDUE",""))</f>
        <v/>
      </c>
      <c r="L76" s="58"/>
      <c r="M76" s="24"/>
      <c r="N76" s="24"/>
      <c r="O76" s="24"/>
      <c r="P76" s="23"/>
    </row>
    <row r="77" customFormat="false" ht="18" hidden="false" customHeight="true" outlineLevel="0" collapsed="false">
      <c r="A77" s="27" t="n">
        <v>70</v>
      </c>
      <c r="B77" s="28"/>
      <c r="C77" s="28"/>
      <c r="D77" s="29"/>
      <c r="E77" s="29"/>
      <c r="F77" s="46"/>
      <c r="G77" s="47"/>
      <c r="H77" s="47"/>
      <c r="I77" s="47"/>
      <c r="J77" s="57"/>
      <c r="K77" s="43" t="str">
        <f aca="false">IF(AND(I77&lt;&gt;"",J77&lt;&gt;""),J77-I77,IF(AND(I77&lt;&gt;"",$B$3&gt;I77+14),"OVERDUE",""))</f>
        <v/>
      </c>
      <c r="L77" s="58"/>
      <c r="M77" s="29"/>
      <c r="N77" s="29"/>
      <c r="O77" s="29"/>
      <c r="P77" s="28"/>
    </row>
    <row r="78" customFormat="false" ht="18" hidden="false" customHeight="true" outlineLevel="0" collapsed="false">
      <c r="A78" s="22" t="n">
        <v>71</v>
      </c>
      <c r="B78" s="23"/>
      <c r="C78" s="23"/>
      <c r="D78" s="24"/>
      <c r="E78" s="24"/>
      <c r="F78" s="40"/>
      <c r="G78" s="42"/>
      <c r="H78" s="42"/>
      <c r="I78" s="42"/>
      <c r="J78" s="57"/>
      <c r="K78" s="43" t="str">
        <f aca="false">IF(AND(I78&lt;&gt;"",J78&lt;&gt;""),J78-I78,IF(AND(I78&lt;&gt;"",$B$3&gt;I78+14),"OVERDUE",""))</f>
        <v/>
      </c>
      <c r="L78" s="58"/>
      <c r="M78" s="24"/>
      <c r="N78" s="24"/>
      <c r="O78" s="24"/>
      <c r="P78" s="23"/>
    </row>
    <row r="79" customFormat="false" ht="18" hidden="false" customHeight="true" outlineLevel="0" collapsed="false">
      <c r="A79" s="27" t="n">
        <v>72</v>
      </c>
      <c r="B79" s="28"/>
      <c r="C79" s="28"/>
      <c r="D79" s="29"/>
      <c r="E79" s="29"/>
      <c r="F79" s="46"/>
      <c r="G79" s="47"/>
      <c r="H79" s="47"/>
      <c r="I79" s="47"/>
      <c r="J79" s="57"/>
      <c r="K79" s="43" t="str">
        <f aca="false">IF(AND(I79&lt;&gt;"",J79&lt;&gt;""),J79-I79,IF(AND(I79&lt;&gt;"",$B$3&gt;I79+14),"OVERDUE",""))</f>
        <v/>
      </c>
      <c r="L79" s="58"/>
      <c r="M79" s="29"/>
      <c r="N79" s="29"/>
      <c r="O79" s="29"/>
      <c r="P79" s="28"/>
    </row>
    <row r="80" customFormat="false" ht="18" hidden="false" customHeight="true" outlineLevel="0" collapsed="false">
      <c r="A80" s="22" t="n">
        <v>73</v>
      </c>
      <c r="B80" s="23"/>
      <c r="C80" s="23"/>
      <c r="D80" s="24"/>
      <c r="E80" s="24"/>
      <c r="F80" s="40"/>
      <c r="G80" s="42"/>
      <c r="H80" s="42"/>
      <c r="I80" s="42"/>
      <c r="J80" s="57"/>
      <c r="K80" s="43" t="str">
        <f aca="false">IF(AND(I80&lt;&gt;"",J80&lt;&gt;""),J80-I80,IF(AND(I80&lt;&gt;"",$B$3&gt;I80+14),"OVERDUE",""))</f>
        <v/>
      </c>
      <c r="L80" s="58"/>
      <c r="M80" s="24"/>
      <c r="N80" s="24"/>
      <c r="O80" s="24"/>
      <c r="P80" s="23"/>
    </row>
    <row r="81" customFormat="false" ht="18" hidden="false" customHeight="true" outlineLevel="0" collapsed="false">
      <c r="A81" s="27" t="n">
        <v>74</v>
      </c>
      <c r="B81" s="28"/>
      <c r="C81" s="28"/>
      <c r="D81" s="29"/>
      <c r="E81" s="29"/>
      <c r="F81" s="46"/>
      <c r="G81" s="47"/>
      <c r="H81" s="47"/>
      <c r="I81" s="47"/>
      <c r="J81" s="57"/>
      <c r="K81" s="43" t="str">
        <f aca="false">IF(AND(I81&lt;&gt;"",J81&lt;&gt;""),J81-I81,IF(AND(I81&lt;&gt;"",$B$3&gt;I81+14),"OVERDUE",""))</f>
        <v/>
      </c>
      <c r="L81" s="58"/>
      <c r="M81" s="29"/>
      <c r="N81" s="29"/>
      <c r="O81" s="29"/>
      <c r="P81" s="28"/>
    </row>
    <row r="82" customFormat="false" ht="18" hidden="false" customHeight="true" outlineLevel="0" collapsed="false">
      <c r="A82" s="22" t="n">
        <v>75</v>
      </c>
      <c r="B82" s="23"/>
      <c r="C82" s="23"/>
      <c r="D82" s="24"/>
      <c r="E82" s="24"/>
      <c r="F82" s="40"/>
      <c r="G82" s="42"/>
      <c r="H82" s="42"/>
      <c r="I82" s="42"/>
      <c r="J82" s="57"/>
      <c r="K82" s="43" t="str">
        <f aca="false">IF(AND(I82&lt;&gt;"",J82&lt;&gt;""),J82-I82,IF(AND(I82&lt;&gt;"",$B$3&gt;I82+14),"OVERDUE",""))</f>
        <v/>
      </c>
      <c r="L82" s="58"/>
      <c r="M82" s="24"/>
      <c r="N82" s="24"/>
      <c r="O82" s="24"/>
      <c r="P82" s="23"/>
    </row>
    <row r="83" customFormat="false" ht="18" hidden="false" customHeight="true" outlineLevel="0" collapsed="false">
      <c r="A83" s="27" t="n">
        <v>76</v>
      </c>
      <c r="B83" s="28"/>
      <c r="C83" s="28"/>
      <c r="D83" s="29"/>
      <c r="E83" s="29"/>
      <c r="F83" s="46"/>
      <c r="G83" s="47"/>
      <c r="H83" s="47"/>
      <c r="I83" s="47"/>
      <c r="J83" s="57"/>
      <c r="K83" s="43" t="str">
        <f aca="false">IF(AND(I83&lt;&gt;"",J83&lt;&gt;""),J83-I83,IF(AND(I83&lt;&gt;"",$B$3&gt;I83+14),"OVERDUE",""))</f>
        <v/>
      </c>
      <c r="L83" s="58"/>
      <c r="M83" s="29"/>
      <c r="N83" s="29"/>
      <c r="O83" s="29"/>
      <c r="P83" s="28"/>
    </row>
    <row r="84" customFormat="false" ht="18" hidden="false" customHeight="true" outlineLevel="0" collapsed="false">
      <c r="A84" s="22" t="n">
        <v>77</v>
      </c>
      <c r="B84" s="23"/>
      <c r="C84" s="23"/>
      <c r="D84" s="24"/>
      <c r="E84" s="24"/>
      <c r="F84" s="40"/>
      <c r="G84" s="42"/>
      <c r="H84" s="42"/>
      <c r="I84" s="42"/>
      <c r="J84" s="57"/>
      <c r="K84" s="43" t="str">
        <f aca="false">IF(AND(I84&lt;&gt;"",J84&lt;&gt;""),J84-I84,IF(AND(I84&lt;&gt;"",$B$3&gt;I84+14),"OVERDUE",""))</f>
        <v/>
      </c>
      <c r="L84" s="58"/>
      <c r="M84" s="24"/>
      <c r="N84" s="24"/>
      <c r="O84" s="24"/>
      <c r="P84" s="23"/>
    </row>
    <row r="85" customFormat="false" ht="18" hidden="false" customHeight="true" outlineLevel="0" collapsed="false">
      <c r="A85" s="27" t="n">
        <v>78</v>
      </c>
      <c r="B85" s="28"/>
      <c r="C85" s="28"/>
      <c r="D85" s="29"/>
      <c r="E85" s="29"/>
      <c r="F85" s="46"/>
      <c r="G85" s="47"/>
      <c r="H85" s="47"/>
      <c r="I85" s="47"/>
      <c r="J85" s="57"/>
      <c r="K85" s="43" t="str">
        <f aca="false">IF(AND(I85&lt;&gt;"",J85&lt;&gt;""),J85-I85,IF(AND(I85&lt;&gt;"",$B$3&gt;I85+14),"OVERDUE",""))</f>
        <v/>
      </c>
      <c r="L85" s="58"/>
      <c r="M85" s="29"/>
      <c r="N85" s="29"/>
      <c r="O85" s="29"/>
      <c r="P85" s="28"/>
    </row>
    <row r="86" customFormat="false" ht="18" hidden="false" customHeight="true" outlineLevel="0" collapsed="false">
      <c r="A86" s="22" t="n">
        <v>79</v>
      </c>
      <c r="B86" s="23"/>
      <c r="C86" s="23"/>
      <c r="D86" s="24"/>
      <c r="E86" s="24"/>
      <c r="F86" s="40"/>
      <c r="G86" s="42"/>
      <c r="H86" s="42"/>
      <c r="I86" s="42"/>
      <c r="J86" s="57"/>
      <c r="K86" s="43" t="str">
        <f aca="false">IF(AND(I86&lt;&gt;"",J86&lt;&gt;""),J86-I86,IF(AND(I86&lt;&gt;"",$B$3&gt;I86+14),"OVERDUE",""))</f>
        <v/>
      </c>
      <c r="L86" s="58"/>
      <c r="M86" s="24"/>
      <c r="N86" s="24"/>
      <c r="O86" s="24"/>
      <c r="P86" s="23"/>
    </row>
    <row r="87" customFormat="false" ht="18" hidden="false" customHeight="true" outlineLevel="0" collapsed="false">
      <c r="A87" s="27" t="n">
        <v>80</v>
      </c>
      <c r="B87" s="28"/>
      <c r="C87" s="28"/>
      <c r="D87" s="29"/>
      <c r="E87" s="29"/>
      <c r="F87" s="46"/>
      <c r="G87" s="47"/>
      <c r="H87" s="47"/>
      <c r="I87" s="47"/>
      <c r="J87" s="57"/>
      <c r="K87" s="43" t="str">
        <f aca="false">IF(AND(I87&lt;&gt;"",J87&lt;&gt;""),J87-I87,IF(AND(I87&lt;&gt;"",$B$3&gt;I87+14),"OVERDUE",""))</f>
        <v/>
      </c>
      <c r="L87" s="58"/>
      <c r="M87" s="29"/>
      <c r="N87" s="29"/>
      <c r="O87" s="29"/>
      <c r="P87" s="28"/>
    </row>
    <row r="88" customFormat="false" ht="18" hidden="false" customHeight="true" outlineLevel="0" collapsed="false">
      <c r="A88" s="22" t="n">
        <v>81</v>
      </c>
      <c r="B88" s="23"/>
      <c r="C88" s="23"/>
      <c r="D88" s="24"/>
      <c r="E88" s="24"/>
      <c r="F88" s="40"/>
      <c r="G88" s="42"/>
      <c r="H88" s="42"/>
      <c r="I88" s="42"/>
      <c r="J88" s="57"/>
      <c r="K88" s="43" t="str">
        <f aca="false">IF(AND(I88&lt;&gt;"",J88&lt;&gt;""),J88-I88,IF(AND(I88&lt;&gt;"",$B$3&gt;I88+14),"OVERDUE",""))</f>
        <v/>
      </c>
      <c r="L88" s="58"/>
      <c r="M88" s="24"/>
      <c r="N88" s="24"/>
      <c r="O88" s="24"/>
      <c r="P88" s="23"/>
    </row>
    <row r="89" customFormat="false" ht="18" hidden="false" customHeight="true" outlineLevel="0" collapsed="false">
      <c r="A89" s="27" t="n">
        <v>82</v>
      </c>
      <c r="B89" s="28"/>
      <c r="C89" s="28"/>
      <c r="D89" s="29"/>
      <c r="E89" s="29"/>
      <c r="F89" s="46"/>
      <c r="G89" s="47"/>
      <c r="H89" s="47"/>
      <c r="I89" s="47"/>
      <c r="J89" s="57"/>
      <c r="K89" s="43" t="str">
        <f aca="false">IF(AND(I89&lt;&gt;"",J89&lt;&gt;""),J89-I89,IF(AND(I89&lt;&gt;"",$B$3&gt;I89+14),"OVERDUE",""))</f>
        <v/>
      </c>
      <c r="L89" s="58"/>
      <c r="M89" s="29"/>
      <c r="N89" s="29"/>
      <c r="O89" s="29"/>
      <c r="P89" s="28"/>
    </row>
    <row r="90" customFormat="false" ht="18" hidden="false" customHeight="true" outlineLevel="0" collapsed="false">
      <c r="A90" s="22" t="n">
        <v>83</v>
      </c>
      <c r="B90" s="23"/>
      <c r="C90" s="23"/>
      <c r="D90" s="24"/>
      <c r="E90" s="24"/>
      <c r="F90" s="40"/>
      <c r="G90" s="42"/>
      <c r="H90" s="42"/>
      <c r="I90" s="42"/>
      <c r="J90" s="57"/>
      <c r="K90" s="43" t="str">
        <f aca="false">IF(AND(I90&lt;&gt;"",J90&lt;&gt;""),J90-I90,IF(AND(I90&lt;&gt;"",$B$3&gt;I90+14),"OVERDUE",""))</f>
        <v/>
      </c>
      <c r="L90" s="58"/>
      <c r="M90" s="24"/>
      <c r="N90" s="24"/>
      <c r="O90" s="24"/>
      <c r="P90" s="23"/>
    </row>
    <row r="91" customFormat="false" ht="18" hidden="false" customHeight="true" outlineLevel="0" collapsed="false">
      <c r="A91" s="27" t="n">
        <v>84</v>
      </c>
      <c r="B91" s="28"/>
      <c r="C91" s="28"/>
      <c r="D91" s="29"/>
      <c r="E91" s="29"/>
      <c r="F91" s="46"/>
      <c r="G91" s="47"/>
      <c r="H91" s="47"/>
      <c r="I91" s="47"/>
      <c r="J91" s="57"/>
      <c r="K91" s="43" t="str">
        <f aca="false">IF(AND(I91&lt;&gt;"",J91&lt;&gt;""),J91-I91,IF(AND(I91&lt;&gt;"",$B$3&gt;I91+14),"OVERDUE",""))</f>
        <v/>
      </c>
      <c r="L91" s="58"/>
      <c r="M91" s="29"/>
      <c r="N91" s="29"/>
      <c r="O91" s="29"/>
      <c r="P91" s="28"/>
    </row>
    <row r="92" customFormat="false" ht="18" hidden="false" customHeight="true" outlineLevel="0" collapsed="false">
      <c r="A92" s="22" t="n">
        <v>85</v>
      </c>
      <c r="B92" s="23"/>
      <c r="C92" s="23"/>
      <c r="D92" s="24"/>
      <c r="E92" s="24"/>
      <c r="F92" s="40"/>
      <c r="G92" s="42"/>
      <c r="H92" s="42"/>
      <c r="I92" s="42"/>
      <c r="J92" s="57"/>
      <c r="K92" s="43" t="str">
        <f aca="false">IF(AND(I92&lt;&gt;"",J92&lt;&gt;""),J92-I92,IF(AND(I92&lt;&gt;"",$B$3&gt;I92+14),"OVERDUE",""))</f>
        <v/>
      </c>
      <c r="L92" s="58"/>
      <c r="M92" s="24"/>
      <c r="N92" s="24"/>
      <c r="O92" s="24"/>
      <c r="P92" s="23"/>
    </row>
    <row r="93" customFormat="false" ht="18" hidden="false" customHeight="true" outlineLevel="0" collapsed="false">
      <c r="A93" s="27" t="n">
        <v>86</v>
      </c>
      <c r="B93" s="28"/>
      <c r="C93" s="28"/>
      <c r="D93" s="29"/>
      <c r="E93" s="29"/>
      <c r="F93" s="46"/>
      <c r="G93" s="47"/>
      <c r="H93" s="47"/>
      <c r="I93" s="47"/>
      <c r="J93" s="57"/>
      <c r="K93" s="43" t="str">
        <f aca="false">IF(AND(I93&lt;&gt;"",J93&lt;&gt;""),J93-I93,IF(AND(I93&lt;&gt;"",$B$3&gt;I93+14),"OVERDUE",""))</f>
        <v/>
      </c>
      <c r="L93" s="58"/>
      <c r="M93" s="29"/>
      <c r="N93" s="29"/>
      <c r="O93" s="29"/>
      <c r="P93" s="28"/>
    </row>
    <row r="94" customFormat="false" ht="18" hidden="false" customHeight="true" outlineLevel="0" collapsed="false">
      <c r="A94" s="22" t="n">
        <v>87</v>
      </c>
      <c r="B94" s="23"/>
      <c r="C94" s="23"/>
      <c r="D94" s="24"/>
      <c r="E94" s="24"/>
      <c r="F94" s="40"/>
      <c r="G94" s="42"/>
      <c r="H94" s="42"/>
      <c r="I94" s="42"/>
      <c r="J94" s="57"/>
      <c r="K94" s="43" t="str">
        <f aca="false">IF(AND(I94&lt;&gt;"",J94&lt;&gt;""),J94-I94,IF(AND(I94&lt;&gt;"",$B$3&gt;I94+14),"OVERDUE",""))</f>
        <v/>
      </c>
      <c r="L94" s="58"/>
      <c r="M94" s="24"/>
      <c r="N94" s="24"/>
      <c r="O94" s="24"/>
      <c r="P94" s="23"/>
    </row>
    <row r="95" customFormat="false" ht="18" hidden="false" customHeight="true" outlineLevel="0" collapsed="false">
      <c r="A95" s="27" t="n">
        <v>88</v>
      </c>
      <c r="B95" s="28"/>
      <c r="C95" s="28"/>
      <c r="D95" s="29"/>
      <c r="E95" s="29"/>
      <c r="F95" s="46"/>
      <c r="G95" s="47"/>
      <c r="H95" s="47"/>
      <c r="I95" s="47"/>
      <c r="J95" s="57"/>
      <c r="K95" s="43" t="str">
        <f aca="false">IF(AND(I95&lt;&gt;"",J95&lt;&gt;""),J95-I95,IF(AND(I95&lt;&gt;"",$B$3&gt;I95+14),"OVERDUE",""))</f>
        <v/>
      </c>
      <c r="L95" s="58"/>
      <c r="M95" s="29"/>
      <c r="N95" s="29"/>
      <c r="O95" s="29"/>
      <c r="P95" s="28"/>
    </row>
    <row r="96" customFormat="false" ht="18" hidden="false" customHeight="true" outlineLevel="0" collapsed="false">
      <c r="A96" s="22" t="n">
        <v>89</v>
      </c>
      <c r="B96" s="23"/>
      <c r="C96" s="23"/>
      <c r="D96" s="24"/>
      <c r="E96" s="24"/>
      <c r="F96" s="40"/>
      <c r="G96" s="42"/>
      <c r="H96" s="42"/>
      <c r="I96" s="42"/>
      <c r="J96" s="57"/>
      <c r="K96" s="43" t="str">
        <f aca="false">IF(AND(I96&lt;&gt;"",J96&lt;&gt;""),J96-I96,IF(AND(I96&lt;&gt;"",$B$3&gt;I96+14),"OVERDUE",""))</f>
        <v/>
      </c>
      <c r="L96" s="58"/>
      <c r="M96" s="24"/>
      <c r="N96" s="24"/>
      <c r="O96" s="24"/>
      <c r="P96" s="23"/>
    </row>
    <row r="97" customFormat="false" ht="18" hidden="false" customHeight="true" outlineLevel="0" collapsed="false">
      <c r="A97" s="27" t="n">
        <v>90</v>
      </c>
      <c r="B97" s="28"/>
      <c r="C97" s="28"/>
      <c r="D97" s="29"/>
      <c r="E97" s="29"/>
      <c r="F97" s="46"/>
      <c r="G97" s="47"/>
      <c r="H97" s="47"/>
      <c r="I97" s="47"/>
      <c r="J97" s="57"/>
      <c r="K97" s="43" t="str">
        <f aca="false">IF(AND(I97&lt;&gt;"",J97&lt;&gt;""),J97-I97,IF(AND(I97&lt;&gt;"",$B$3&gt;I97+14),"OVERDUE",""))</f>
        <v/>
      </c>
      <c r="L97" s="58"/>
      <c r="M97" s="29"/>
      <c r="N97" s="29"/>
      <c r="O97" s="29"/>
      <c r="P97" s="28"/>
    </row>
    <row r="98" customFormat="false" ht="18" hidden="false" customHeight="true" outlineLevel="0" collapsed="false">
      <c r="A98" s="22" t="n">
        <v>91</v>
      </c>
      <c r="B98" s="23"/>
      <c r="C98" s="23"/>
      <c r="D98" s="24"/>
      <c r="E98" s="24"/>
      <c r="F98" s="40"/>
      <c r="G98" s="42"/>
      <c r="H98" s="42"/>
      <c r="I98" s="42"/>
      <c r="J98" s="57"/>
      <c r="K98" s="43" t="str">
        <f aca="false">IF(AND(I98&lt;&gt;"",J98&lt;&gt;""),J98-I98,IF(AND(I98&lt;&gt;"",$B$3&gt;I98+14),"OVERDUE",""))</f>
        <v/>
      </c>
      <c r="L98" s="58"/>
      <c r="M98" s="24"/>
      <c r="N98" s="24"/>
      <c r="O98" s="24"/>
      <c r="P98" s="23"/>
    </row>
    <row r="99" customFormat="false" ht="18" hidden="false" customHeight="true" outlineLevel="0" collapsed="false">
      <c r="A99" s="27" t="n">
        <v>92</v>
      </c>
      <c r="B99" s="28"/>
      <c r="C99" s="28"/>
      <c r="D99" s="29"/>
      <c r="E99" s="29"/>
      <c r="F99" s="46"/>
      <c r="G99" s="47"/>
      <c r="H99" s="47"/>
      <c r="I99" s="47"/>
      <c r="J99" s="57"/>
      <c r="K99" s="43" t="str">
        <f aca="false">IF(AND(I99&lt;&gt;"",J99&lt;&gt;""),J99-I99,IF(AND(I99&lt;&gt;"",$B$3&gt;I99+14),"OVERDUE",""))</f>
        <v/>
      </c>
      <c r="L99" s="58"/>
      <c r="M99" s="29"/>
      <c r="N99" s="29"/>
      <c r="O99" s="29"/>
      <c r="P99" s="28"/>
    </row>
    <row r="100" customFormat="false" ht="18" hidden="false" customHeight="true" outlineLevel="0" collapsed="false">
      <c r="A100" s="22" t="n">
        <v>93</v>
      </c>
      <c r="B100" s="23"/>
      <c r="C100" s="23"/>
      <c r="D100" s="24"/>
      <c r="E100" s="24"/>
      <c r="F100" s="40"/>
      <c r="G100" s="42"/>
      <c r="H100" s="42"/>
      <c r="I100" s="42"/>
      <c r="J100" s="57"/>
      <c r="K100" s="43" t="str">
        <f aca="false">IF(AND(I100&lt;&gt;"",J100&lt;&gt;""),J100-I100,IF(AND(I100&lt;&gt;"",$B$3&gt;I100+14),"OVERDUE",""))</f>
        <v/>
      </c>
      <c r="L100" s="58"/>
      <c r="M100" s="24"/>
      <c r="N100" s="24"/>
      <c r="O100" s="24"/>
      <c r="P100" s="23"/>
    </row>
    <row r="101" customFormat="false" ht="18" hidden="false" customHeight="true" outlineLevel="0" collapsed="false">
      <c r="A101" s="27" t="n">
        <v>94</v>
      </c>
      <c r="B101" s="28"/>
      <c r="C101" s="28"/>
      <c r="D101" s="29"/>
      <c r="E101" s="29"/>
      <c r="F101" s="46"/>
      <c r="G101" s="47"/>
      <c r="H101" s="47"/>
      <c r="I101" s="47"/>
      <c r="J101" s="57"/>
      <c r="K101" s="43" t="str">
        <f aca="false">IF(AND(I101&lt;&gt;"",J101&lt;&gt;""),J101-I101,IF(AND(I101&lt;&gt;"",$B$3&gt;I101+14),"OVERDUE",""))</f>
        <v/>
      </c>
      <c r="L101" s="58"/>
      <c r="M101" s="29"/>
      <c r="N101" s="29"/>
      <c r="O101" s="29"/>
      <c r="P101" s="28"/>
    </row>
    <row r="102" customFormat="false" ht="18" hidden="false" customHeight="true" outlineLevel="0" collapsed="false">
      <c r="A102" s="22" t="n">
        <v>95</v>
      </c>
      <c r="B102" s="23"/>
      <c r="C102" s="23"/>
      <c r="D102" s="24"/>
      <c r="E102" s="24"/>
      <c r="F102" s="40"/>
      <c r="G102" s="42"/>
      <c r="H102" s="42"/>
      <c r="I102" s="42"/>
      <c r="J102" s="57"/>
      <c r="K102" s="43" t="str">
        <f aca="false">IF(AND(I102&lt;&gt;"",J102&lt;&gt;""),J102-I102,IF(AND(I102&lt;&gt;"",$B$3&gt;I102+14),"OVERDUE",""))</f>
        <v/>
      </c>
      <c r="L102" s="58"/>
      <c r="M102" s="24"/>
      <c r="N102" s="24"/>
      <c r="O102" s="24"/>
      <c r="P102" s="23"/>
    </row>
    <row r="103" customFormat="false" ht="18" hidden="false" customHeight="true" outlineLevel="0" collapsed="false">
      <c r="A103" s="27" t="n">
        <v>96</v>
      </c>
      <c r="B103" s="28"/>
      <c r="C103" s="28"/>
      <c r="D103" s="29"/>
      <c r="E103" s="29"/>
      <c r="F103" s="46"/>
      <c r="G103" s="47"/>
      <c r="H103" s="47"/>
      <c r="I103" s="47"/>
      <c r="J103" s="57"/>
      <c r="K103" s="43" t="str">
        <f aca="false">IF(AND(I103&lt;&gt;"",J103&lt;&gt;""),J103-I103,IF(AND(I103&lt;&gt;"",$B$3&gt;I103+14),"OVERDUE",""))</f>
        <v/>
      </c>
      <c r="L103" s="58"/>
      <c r="M103" s="29"/>
      <c r="N103" s="29"/>
      <c r="O103" s="29"/>
      <c r="P103" s="28"/>
    </row>
    <row r="104" customFormat="false" ht="18" hidden="false" customHeight="true" outlineLevel="0" collapsed="false">
      <c r="A104" s="22" t="n">
        <v>97</v>
      </c>
      <c r="B104" s="23"/>
      <c r="C104" s="23"/>
      <c r="D104" s="24"/>
      <c r="E104" s="24"/>
      <c r="F104" s="40"/>
      <c r="G104" s="42"/>
      <c r="H104" s="42"/>
      <c r="I104" s="42"/>
      <c r="J104" s="57"/>
      <c r="K104" s="43" t="str">
        <f aca="false">IF(AND(I104&lt;&gt;"",J104&lt;&gt;""),J104-I104,IF(AND(I104&lt;&gt;"",$B$3&gt;I104+14),"OVERDUE",""))</f>
        <v/>
      </c>
      <c r="L104" s="58"/>
      <c r="M104" s="24"/>
      <c r="N104" s="24"/>
      <c r="O104" s="24"/>
      <c r="P104" s="23"/>
    </row>
    <row r="105" customFormat="false" ht="18" hidden="false" customHeight="true" outlineLevel="0" collapsed="false">
      <c r="A105" s="27" t="n">
        <v>98</v>
      </c>
      <c r="B105" s="28"/>
      <c r="C105" s="28"/>
      <c r="D105" s="29"/>
      <c r="E105" s="29"/>
      <c r="F105" s="46"/>
      <c r="G105" s="47"/>
      <c r="H105" s="47"/>
      <c r="I105" s="47"/>
      <c r="J105" s="57"/>
      <c r="K105" s="43" t="str">
        <f aca="false">IF(AND(I105&lt;&gt;"",J105&lt;&gt;""),J105-I105,IF(AND(I105&lt;&gt;"",$B$3&gt;I105+14),"OVERDUE",""))</f>
        <v/>
      </c>
      <c r="L105" s="58"/>
      <c r="M105" s="29"/>
      <c r="N105" s="29"/>
      <c r="O105" s="29"/>
      <c r="P105" s="28"/>
    </row>
    <row r="106" customFormat="false" ht="18" hidden="false" customHeight="true" outlineLevel="0" collapsed="false">
      <c r="A106" s="22" t="n">
        <v>99</v>
      </c>
      <c r="B106" s="23"/>
      <c r="C106" s="23"/>
      <c r="D106" s="24"/>
      <c r="E106" s="24"/>
      <c r="F106" s="40"/>
      <c r="G106" s="42"/>
      <c r="H106" s="42"/>
      <c r="I106" s="42"/>
      <c r="J106" s="57"/>
      <c r="K106" s="43" t="str">
        <f aca="false">IF(AND(I106&lt;&gt;"",J106&lt;&gt;""),J106-I106,IF(AND(I106&lt;&gt;"",$B$3&gt;I106+14),"OVERDUE",""))</f>
        <v/>
      </c>
      <c r="L106" s="58"/>
      <c r="M106" s="24"/>
      <c r="N106" s="24"/>
      <c r="O106" s="24"/>
      <c r="P106" s="23"/>
    </row>
    <row r="107" customFormat="false" ht="18" hidden="false" customHeight="true" outlineLevel="0" collapsed="false">
      <c r="A107" s="27" t="n">
        <v>100</v>
      </c>
      <c r="B107" s="28"/>
      <c r="C107" s="28"/>
      <c r="D107" s="29"/>
      <c r="E107" s="29"/>
      <c r="F107" s="46"/>
      <c r="G107" s="47"/>
      <c r="H107" s="47"/>
      <c r="I107" s="47"/>
      <c r="J107" s="57"/>
      <c r="K107" s="43" t="str">
        <f aca="false">IF(AND(I107&lt;&gt;"",J107&lt;&gt;""),J107-I107,IF(AND(I107&lt;&gt;"",$B$3&gt;I107+14),"OVERDUE",""))</f>
        <v/>
      </c>
      <c r="L107" s="58"/>
      <c r="M107" s="29"/>
      <c r="N107" s="29"/>
      <c r="O107" s="29"/>
      <c r="P107" s="28"/>
    </row>
    <row r="109" customFormat="false" ht="21.75" hidden="false" customHeight="true" outlineLevel="0" collapsed="false">
      <c r="A109" s="33" t="s">
        <v>34</v>
      </c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</row>
  </sheetData>
  <sheetProtection sheet="true" password="df0a"/>
  <mergeCells count="7">
    <mergeCell ref="A1:P1"/>
    <mergeCell ref="A4:P4"/>
    <mergeCell ref="A5:D5"/>
    <mergeCell ref="E5:H5"/>
    <mergeCell ref="I5:K5"/>
    <mergeCell ref="L5:N5"/>
    <mergeCell ref="A109:P109"/>
  </mergeCells>
  <conditionalFormatting sqref="L8:L107">
    <cfRule type="cellIs" priority="2" operator="equal" aboveAverage="0" equalAverage="0" bottom="0" percent="0" rank="0" text="" dxfId="0">
      <formula>"Received"</formula>
    </cfRule>
    <cfRule type="cellIs" priority="3" operator="equal" aboveAverage="0" equalAverage="0" bottom="0" percent="0" rank="0" text="" dxfId="3">
      <formula>"Pending"</formula>
    </cfRule>
    <cfRule type="cellIs" priority="4" operator="equal" aboveAverage="0" equalAverage="0" bottom="0" percent="0" rank="0" text="" dxfId="2">
      <formula>"Missing"</formula>
    </cfRule>
    <cfRule type="cellIs" priority="5" operator="equal" aboveAverage="0" equalAverage="0" bottom="0" percent="0" rank="0" text="" dxfId="2">
      <formula>"Overdue"</formula>
    </cfRule>
    <cfRule type="cellIs" priority="6" operator="equal" aboveAverage="0" equalAverage="0" bottom="0" percent="0" rank="0" text="" dxfId="1">
      <formula>"Not Required"</formula>
    </cfRule>
  </conditionalFormatting>
  <conditionalFormatting sqref="A8:P8">
    <cfRule type="expression" priority="7" aboveAverage="0" equalAverage="0" bottom="0" percent="0" rank="0" text="" dxfId="5">
      <formula>OR($L8="Missing",$L8="Overdue")</formula>
    </cfRule>
  </conditionalFormatting>
  <conditionalFormatting sqref="A9:P9">
    <cfRule type="expression" priority="8" aboveAverage="0" equalAverage="0" bottom="0" percent="0" rank="0" text="" dxfId="5">
      <formula>OR($L9="Missing",$L9="Overdue")</formula>
    </cfRule>
  </conditionalFormatting>
  <conditionalFormatting sqref="A10:P10">
    <cfRule type="expression" priority="9" aboveAverage="0" equalAverage="0" bottom="0" percent="0" rank="0" text="" dxfId="5">
      <formula>OR($L10="Missing",$L10="Overdue")</formula>
    </cfRule>
  </conditionalFormatting>
  <conditionalFormatting sqref="A11:P11">
    <cfRule type="expression" priority="10" aboveAverage="0" equalAverage="0" bottom="0" percent="0" rank="0" text="" dxfId="5">
      <formula>OR($L11="Missing",$L11="Overdue")</formula>
    </cfRule>
  </conditionalFormatting>
  <conditionalFormatting sqref="A12:P12">
    <cfRule type="expression" priority="11" aboveAverage="0" equalAverage="0" bottom="0" percent="0" rank="0" text="" dxfId="5">
      <formula>OR($L12="Missing",$L12="Overdue")</formula>
    </cfRule>
  </conditionalFormatting>
  <conditionalFormatting sqref="A13:P13">
    <cfRule type="expression" priority="12" aboveAverage="0" equalAverage="0" bottom="0" percent="0" rank="0" text="" dxfId="5">
      <formula>OR($L13="Missing",$L13="Overdue")</formula>
    </cfRule>
  </conditionalFormatting>
  <conditionalFormatting sqref="A14:P14">
    <cfRule type="expression" priority="13" aboveAverage="0" equalAverage="0" bottom="0" percent="0" rank="0" text="" dxfId="5">
      <formula>OR($L14="Missing",$L14="Overdue")</formula>
    </cfRule>
  </conditionalFormatting>
  <conditionalFormatting sqref="A15:P15">
    <cfRule type="expression" priority="14" aboveAverage="0" equalAverage="0" bottom="0" percent="0" rank="0" text="" dxfId="5">
      <formula>OR($L15="Missing",$L15="Overdue")</formula>
    </cfRule>
  </conditionalFormatting>
  <conditionalFormatting sqref="A16:P16">
    <cfRule type="expression" priority="15" aboveAverage="0" equalAverage="0" bottom="0" percent="0" rank="0" text="" dxfId="5">
      <formula>OR($L16="Missing",$L16="Overdue")</formula>
    </cfRule>
  </conditionalFormatting>
  <conditionalFormatting sqref="A17:P17">
    <cfRule type="expression" priority="16" aboveAverage="0" equalAverage="0" bottom="0" percent="0" rank="0" text="" dxfId="5">
      <formula>OR($L17="Missing",$L17="Overdue")</formula>
    </cfRule>
  </conditionalFormatting>
  <conditionalFormatting sqref="A18:P18">
    <cfRule type="expression" priority="17" aboveAverage="0" equalAverage="0" bottom="0" percent="0" rank="0" text="" dxfId="5">
      <formula>OR($L18="Missing",$L18="Overdue")</formula>
    </cfRule>
  </conditionalFormatting>
  <conditionalFormatting sqref="A19:P19">
    <cfRule type="expression" priority="18" aboveAverage="0" equalAverage="0" bottom="0" percent="0" rank="0" text="" dxfId="5">
      <formula>OR($L19="Missing",$L19="Overdue")</formula>
    </cfRule>
  </conditionalFormatting>
  <conditionalFormatting sqref="A20:P20">
    <cfRule type="expression" priority="19" aboveAverage="0" equalAverage="0" bottom="0" percent="0" rank="0" text="" dxfId="5">
      <formula>OR($L20="Missing",$L20="Overdue")</formula>
    </cfRule>
  </conditionalFormatting>
  <conditionalFormatting sqref="A21:P21">
    <cfRule type="expression" priority="20" aboveAverage="0" equalAverage="0" bottom="0" percent="0" rank="0" text="" dxfId="5">
      <formula>OR($L21="Missing",$L21="Overdue")</formula>
    </cfRule>
  </conditionalFormatting>
  <conditionalFormatting sqref="A22:P22">
    <cfRule type="expression" priority="21" aboveAverage="0" equalAverage="0" bottom="0" percent="0" rank="0" text="" dxfId="5">
      <formula>OR($L22="Missing",$L22="Overdue")</formula>
    </cfRule>
  </conditionalFormatting>
  <conditionalFormatting sqref="A23:P23">
    <cfRule type="expression" priority="22" aboveAverage="0" equalAverage="0" bottom="0" percent="0" rank="0" text="" dxfId="5">
      <formula>OR($L23="Missing",$L23="Overdue")</formula>
    </cfRule>
  </conditionalFormatting>
  <conditionalFormatting sqref="A24:P24">
    <cfRule type="expression" priority="23" aboveAverage="0" equalAverage="0" bottom="0" percent="0" rank="0" text="" dxfId="5">
      <formula>OR($L24="Missing",$L24="Overdue")</formula>
    </cfRule>
  </conditionalFormatting>
  <conditionalFormatting sqref="A25:P25">
    <cfRule type="expression" priority="24" aboveAverage="0" equalAverage="0" bottom="0" percent="0" rank="0" text="" dxfId="5">
      <formula>OR($L25="Missing",$L25="Overdue")</formula>
    </cfRule>
  </conditionalFormatting>
  <conditionalFormatting sqref="A26:P26">
    <cfRule type="expression" priority="25" aboveAverage="0" equalAverage="0" bottom="0" percent="0" rank="0" text="" dxfId="5">
      <formula>OR($L26="Missing",$L26="Overdue")</formula>
    </cfRule>
  </conditionalFormatting>
  <conditionalFormatting sqref="A27:P27">
    <cfRule type="expression" priority="26" aboveAverage="0" equalAverage="0" bottom="0" percent="0" rank="0" text="" dxfId="5">
      <formula>OR($L27="Missing",$L27="Overdue")</formula>
    </cfRule>
  </conditionalFormatting>
  <conditionalFormatting sqref="A28:P28">
    <cfRule type="expression" priority="27" aboveAverage="0" equalAverage="0" bottom="0" percent="0" rank="0" text="" dxfId="5">
      <formula>OR($L28="Missing",$L28="Overdue")</formula>
    </cfRule>
  </conditionalFormatting>
  <conditionalFormatting sqref="A29:P29">
    <cfRule type="expression" priority="28" aboveAverage="0" equalAverage="0" bottom="0" percent="0" rank="0" text="" dxfId="5">
      <formula>OR($L29="Missing",$L29="Overdue")</formula>
    </cfRule>
  </conditionalFormatting>
  <conditionalFormatting sqref="A30:P30">
    <cfRule type="expression" priority="29" aboveAverage="0" equalAverage="0" bottom="0" percent="0" rank="0" text="" dxfId="5">
      <formula>OR($L30="Missing",$L30="Overdue")</formula>
    </cfRule>
  </conditionalFormatting>
  <conditionalFormatting sqref="A31:P31">
    <cfRule type="expression" priority="30" aboveAverage="0" equalAverage="0" bottom="0" percent="0" rank="0" text="" dxfId="5">
      <formula>OR($L31="Missing",$L31="Overdue")</formula>
    </cfRule>
  </conditionalFormatting>
  <conditionalFormatting sqref="A32:P32">
    <cfRule type="expression" priority="31" aboveAverage="0" equalAverage="0" bottom="0" percent="0" rank="0" text="" dxfId="5">
      <formula>OR($L32="Missing",$L32="Overdue")</formula>
    </cfRule>
  </conditionalFormatting>
  <conditionalFormatting sqref="A33:P33">
    <cfRule type="expression" priority="32" aboveAverage="0" equalAverage="0" bottom="0" percent="0" rank="0" text="" dxfId="5">
      <formula>OR($L33="Missing",$L33="Overdue")</formula>
    </cfRule>
  </conditionalFormatting>
  <conditionalFormatting sqref="A34:P34">
    <cfRule type="expression" priority="33" aboveAverage="0" equalAverage="0" bottom="0" percent="0" rank="0" text="" dxfId="5">
      <formula>OR($L34="Missing",$L34="Overdue")</formula>
    </cfRule>
  </conditionalFormatting>
  <conditionalFormatting sqref="A35:P35">
    <cfRule type="expression" priority="34" aboveAverage="0" equalAverage="0" bottom="0" percent="0" rank="0" text="" dxfId="5">
      <formula>OR($L35="Missing",$L35="Overdue")</formula>
    </cfRule>
  </conditionalFormatting>
  <conditionalFormatting sqref="A36:P36">
    <cfRule type="expression" priority="35" aboveAverage="0" equalAverage="0" bottom="0" percent="0" rank="0" text="" dxfId="5">
      <formula>OR($L36="Missing",$L36="Overdue")</formula>
    </cfRule>
  </conditionalFormatting>
  <conditionalFormatting sqref="A37:P37">
    <cfRule type="expression" priority="36" aboveAverage="0" equalAverage="0" bottom="0" percent="0" rank="0" text="" dxfId="5">
      <formula>OR($L37="Missing",$L37="Overdue")</formula>
    </cfRule>
  </conditionalFormatting>
  <conditionalFormatting sqref="A38:P38">
    <cfRule type="expression" priority="37" aboveAverage="0" equalAverage="0" bottom="0" percent="0" rank="0" text="" dxfId="5">
      <formula>OR($L38="Missing",$L38="Overdue")</formula>
    </cfRule>
  </conditionalFormatting>
  <conditionalFormatting sqref="A39:P39">
    <cfRule type="expression" priority="38" aboveAverage="0" equalAverage="0" bottom="0" percent="0" rank="0" text="" dxfId="5">
      <formula>OR($L39="Missing",$L39="Overdue")</formula>
    </cfRule>
  </conditionalFormatting>
  <conditionalFormatting sqref="A40:P40">
    <cfRule type="expression" priority="39" aboveAverage="0" equalAverage="0" bottom="0" percent="0" rank="0" text="" dxfId="5">
      <formula>OR($L40="Missing",$L40="Overdue")</formula>
    </cfRule>
  </conditionalFormatting>
  <conditionalFormatting sqref="A41:P41">
    <cfRule type="expression" priority="40" aboveAverage="0" equalAverage="0" bottom="0" percent="0" rank="0" text="" dxfId="5">
      <formula>OR($L41="Missing",$L41="Overdue")</formula>
    </cfRule>
  </conditionalFormatting>
  <conditionalFormatting sqref="A42:P42">
    <cfRule type="expression" priority="41" aboveAverage="0" equalAverage="0" bottom="0" percent="0" rank="0" text="" dxfId="5">
      <formula>OR($L42="Missing",$L42="Overdue")</formula>
    </cfRule>
  </conditionalFormatting>
  <conditionalFormatting sqref="A43:P43">
    <cfRule type="expression" priority="42" aboveAverage="0" equalAverage="0" bottom="0" percent="0" rank="0" text="" dxfId="5">
      <formula>OR($L43="Missing",$L43="Overdue")</formula>
    </cfRule>
  </conditionalFormatting>
  <conditionalFormatting sqref="A44:P44">
    <cfRule type="expression" priority="43" aboveAverage="0" equalAverage="0" bottom="0" percent="0" rank="0" text="" dxfId="5">
      <formula>OR($L44="Missing",$L44="Overdue")</formula>
    </cfRule>
  </conditionalFormatting>
  <conditionalFormatting sqref="A45:P45">
    <cfRule type="expression" priority="44" aboveAverage="0" equalAverage="0" bottom="0" percent="0" rank="0" text="" dxfId="5">
      <formula>OR($L45="Missing",$L45="Overdue")</formula>
    </cfRule>
  </conditionalFormatting>
  <conditionalFormatting sqref="A46:P46">
    <cfRule type="expression" priority="45" aboveAverage="0" equalAverage="0" bottom="0" percent="0" rank="0" text="" dxfId="5">
      <formula>OR($L46="Missing",$L46="Overdue")</formula>
    </cfRule>
  </conditionalFormatting>
  <conditionalFormatting sqref="A47:P47">
    <cfRule type="expression" priority="46" aboveAverage="0" equalAverage="0" bottom="0" percent="0" rank="0" text="" dxfId="5">
      <formula>OR($L47="Missing",$L47="Overdue")</formula>
    </cfRule>
  </conditionalFormatting>
  <conditionalFormatting sqref="A48:P48">
    <cfRule type="expression" priority="47" aboveAverage="0" equalAverage="0" bottom="0" percent="0" rank="0" text="" dxfId="5">
      <formula>OR($L48="Missing",$L48="Overdue")</formula>
    </cfRule>
  </conditionalFormatting>
  <conditionalFormatting sqref="A49:P49">
    <cfRule type="expression" priority="48" aboveAverage="0" equalAverage="0" bottom="0" percent="0" rank="0" text="" dxfId="5">
      <formula>OR($L49="Missing",$L49="Overdue")</formula>
    </cfRule>
  </conditionalFormatting>
  <conditionalFormatting sqref="A50:P50">
    <cfRule type="expression" priority="49" aboveAverage="0" equalAverage="0" bottom="0" percent="0" rank="0" text="" dxfId="5">
      <formula>OR($L50="Missing",$L50="Overdue")</formula>
    </cfRule>
  </conditionalFormatting>
  <conditionalFormatting sqref="A51:P51">
    <cfRule type="expression" priority="50" aboveAverage="0" equalAverage="0" bottom="0" percent="0" rank="0" text="" dxfId="5">
      <formula>OR($L51="Missing",$L51="Overdue")</formula>
    </cfRule>
  </conditionalFormatting>
  <conditionalFormatting sqref="A52:P52">
    <cfRule type="expression" priority="51" aboveAverage="0" equalAverage="0" bottom="0" percent="0" rank="0" text="" dxfId="5">
      <formula>OR($L52="Missing",$L52="Overdue")</formula>
    </cfRule>
  </conditionalFormatting>
  <conditionalFormatting sqref="A53:P53">
    <cfRule type="expression" priority="52" aboveAverage="0" equalAverage="0" bottom="0" percent="0" rank="0" text="" dxfId="5">
      <formula>OR($L53="Missing",$L53="Overdue")</formula>
    </cfRule>
  </conditionalFormatting>
  <conditionalFormatting sqref="A54:P54">
    <cfRule type="expression" priority="53" aboveAverage="0" equalAverage="0" bottom="0" percent="0" rank="0" text="" dxfId="5">
      <formula>OR($L54="Missing",$L54="Overdue")</formula>
    </cfRule>
  </conditionalFormatting>
  <conditionalFormatting sqref="A55:P55">
    <cfRule type="expression" priority="54" aboveAverage="0" equalAverage="0" bottom="0" percent="0" rank="0" text="" dxfId="5">
      <formula>OR($L55="Missing",$L55="Overdue")</formula>
    </cfRule>
  </conditionalFormatting>
  <conditionalFormatting sqref="A56:P56">
    <cfRule type="expression" priority="55" aboveAverage="0" equalAverage="0" bottom="0" percent="0" rank="0" text="" dxfId="5">
      <formula>OR($L56="Missing",$L56="Overdue")</formula>
    </cfRule>
  </conditionalFormatting>
  <conditionalFormatting sqref="A57:P57">
    <cfRule type="expression" priority="56" aboveAverage="0" equalAverage="0" bottom="0" percent="0" rank="0" text="" dxfId="5">
      <formula>OR($L57="Missing",$L57="Overdue")</formula>
    </cfRule>
  </conditionalFormatting>
  <conditionalFormatting sqref="A58:P58">
    <cfRule type="expression" priority="57" aboveAverage="0" equalAverage="0" bottom="0" percent="0" rank="0" text="" dxfId="5">
      <formula>OR($L58="Missing",$L58="Overdue")</formula>
    </cfRule>
  </conditionalFormatting>
  <conditionalFormatting sqref="A59:P59">
    <cfRule type="expression" priority="58" aboveAverage="0" equalAverage="0" bottom="0" percent="0" rank="0" text="" dxfId="5">
      <formula>OR($L59="Missing",$L59="Overdue")</formula>
    </cfRule>
  </conditionalFormatting>
  <conditionalFormatting sqref="A60:P60">
    <cfRule type="expression" priority="59" aboveAverage="0" equalAverage="0" bottom="0" percent="0" rank="0" text="" dxfId="5">
      <formula>OR($L60="Missing",$L60="Overdue")</formula>
    </cfRule>
  </conditionalFormatting>
  <conditionalFormatting sqref="A61:P61">
    <cfRule type="expression" priority="60" aboveAverage="0" equalAverage="0" bottom="0" percent="0" rank="0" text="" dxfId="5">
      <formula>OR($L61="Missing",$L61="Overdue")</formula>
    </cfRule>
  </conditionalFormatting>
  <conditionalFormatting sqref="A62:P62">
    <cfRule type="expression" priority="61" aboveAverage="0" equalAverage="0" bottom="0" percent="0" rank="0" text="" dxfId="5">
      <formula>OR($L62="Missing",$L62="Overdue")</formula>
    </cfRule>
  </conditionalFormatting>
  <conditionalFormatting sqref="A63:P63">
    <cfRule type="expression" priority="62" aboveAverage="0" equalAverage="0" bottom="0" percent="0" rank="0" text="" dxfId="5">
      <formula>OR($L63="Missing",$L63="Overdue")</formula>
    </cfRule>
  </conditionalFormatting>
  <conditionalFormatting sqref="A64:P64">
    <cfRule type="expression" priority="63" aboveAverage="0" equalAverage="0" bottom="0" percent="0" rank="0" text="" dxfId="5">
      <formula>OR($L64="Missing",$L64="Overdue")</formula>
    </cfRule>
  </conditionalFormatting>
  <conditionalFormatting sqref="A65:P65">
    <cfRule type="expression" priority="64" aboveAverage="0" equalAverage="0" bottom="0" percent="0" rank="0" text="" dxfId="5">
      <formula>OR($L65="Missing",$L65="Overdue")</formula>
    </cfRule>
  </conditionalFormatting>
  <conditionalFormatting sqref="A66:P66">
    <cfRule type="expression" priority="65" aboveAverage="0" equalAverage="0" bottom="0" percent="0" rank="0" text="" dxfId="5">
      <formula>OR($L66="Missing",$L66="Overdue")</formula>
    </cfRule>
  </conditionalFormatting>
  <conditionalFormatting sqref="A67:P67">
    <cfRule type="expression" priority="66" aboveAverage="0" equalAverage="0" bottom="0" percent="0" rank="0" text="" dxfId="5">
      <formula>OR($L67="Missing",$L67="Overdue")</formula>
    </cfRule>
  </conditionalFormatting>
  <conditionalFormatting sqref="A68:P68">
    <cfRule type="expression" priority="67" aboveAverage="0" equalAverage="0" bottom="0" percent="0" rank="0" text="" dxfId="5">
      <formula>OR($L68="Missing",$L68="Overdue")</formula>
    </cfRule>
  </conditionalFormatting>
  <conditionalFormatting sqref="A69:P69">
    <cfRule type="expression" priority="68" aboveAverage="0" equalAverage="0" bottom="0" percent="0" rank="0" text="" dxfId="5">
      <formula>OR($L69="Missing",$L69="Overdue")</formula>
    </cfRule>
  </conditionalFormatting>
  <conditionalFormatting sqref="A70:P70">
    <cfRule type="expression" priority="69" aboveAverage="0" equalAverage="0" bottom="0" percent="0" rank="0" text="" dxfId="5">
      <formula>OR($L70="Missing",$L70="Overdue")</formula>
    </cfRule>
  </conditionalFormatting>
  <conditionalFormatting sqref="A71:P71">
    <cfRule type="expression" priority="70" aboveAverage="0" equalAverage="0" bottom="0" percent="0" rank="0" text="" dxfId="5">
      <formula>OR($L71="Missing",$L71="Overdue")</formula>
    </cfRule>
  </conditionalFormatting>
  <conditionalFormatting sqref="A72:P72">
    <cfRule type="expression" priority="71" aboveAverage="0" equalAverage="0" bottom="0" percent="0" rank="0" text="" dxfId="5">
      <formula>OR($L72="Missing",$L72="Overdue")</formula>
    </cfRule>
  </conditionalFormatting>
  <conditionalFormatting sqref="A73:P73">
    <cfRule type="expression" priority="72" aboveAverage="0" equalAverage="0" bottom="0" percent="0" rank="0" text="" dxfId="5">
      <formula>OR($L73="Missing",$L73="Overdue")</formula>
    </cfRule>
  </conditionalFormatting>
  <conditionalFormatting sqref="A74:P74">
    <cfRule type="expression" priority="73" aboveAverage="0" equalAverage="0" bottom="0" percent="0" rank="0" text="" dxfId="5">
      <formula>OR($L74="Missing",$L74="Overdue")</formula>
    </cfRule>
  </conditionalFormatting>
  <conditionalFormatting sqref="A75:P75">
    <cfRule type="expression" priority="74" aboveAverage="0" equalAverage="0" bottom="0" percent="0" rank="0" text="" dxfId="5">
      <formula>OR($L75="Missing",$L75="Overdue")</formula>
    </cfRule>
  </conditionalFormatting>
  <conditionalFormatting sqref="A76:P76">
    <cfRule type="expression" priority="75" aboveAverage="0" equalAverage="0" bottom="0" percent="0" rank="0" text="" dxfId="5">
      <formula>OR($L76="Missing",$L76="Overdue")</formula>
    </cfRule>
  </conditionalFormatting>
  <conditionalFormatting sqref="A77:P77">
    <cfRule type="expression" priority="76" aboveAverage="0" equalAverage="0" bottom="0" percent="0" rank="0" text="" dxfId="5">
      <formula>OR($L77="Missing",$L77="Overdue")</formula>
    </cfRule>
  </conditionalFormatting>
  <conditionalFormatting sqref="A78:P78">
    <cfRule type="expression" priority="77" aboveAverage="0" equalAverage="0" bottom="0" percent="0" rank="0" text="" dxfId="5">
      <formula>OR($L78="Missing",$L78="Overdue")</formula>
    </cfRule>
  </conditionalFormatting>
  <conditionalFormatting sqref="A79:P79">
    <cfRule type="expression" priority="78" aboveAverage="0" equalAverage="0" bottom="0" percent="0" rank="0" text="" dxfId="5">
      <formula>OR($L79="Missing",$L79="Overdue")</formula>
    </cfRule>
  </conditionalFormatting>
  <conditionalFormatting sqref="A80:P80">
    <cfRule type="expression" priority="79" aboveAverage="0" equalAverage="0" bottom="0" percent="0" rank="0" text="" dxfId="5">
      <formula>OR($L80="Missing",$L80="Overdue")</formula>
    </cfRule>
  </conditionalFormatting>
  <conditionalFormatting sqref="A81:P81">
    <cfRule type="expression" priority="80" aboveAverage="0" equalAverage="0" bottom="0" percent="0" rank="0" text="" dxfId="5">
      <formula>OR($L81="Missing",$L81="Overdue")</formula>
    </cfRule>
  </conditionalFormatting>
  <conditionalFormatting sqref="A82:P82">
    <cfRule type="expression" priority="81" aboveAverage="0" equalAverage="0" bottom="0" percent="0" rank="0" text="" dxfId="5">
      <formula>OR($L82="Missing",$L82="Overdue")</formula>
    </cfRule>
  </conditionalFormatting>
  <conditionalFormatting sqref="A83:P83">
    <cfRule type="expression" priority="82" aboveAverage="0" equalAverage="0" bottom="0" percent="0" rank="0" text="" dxfId="5">
      <formula>OR($L83="Missing",$L83="Overdue")</formula>
    </cfRule>
  </conditionalFormatting>
  <conditionalFormatting sqref="A84:P84">
    <cfRule type="expression" priority="83" aboveAverage="0" equalAverage="0" bottom="0" percent="0" rank="0" text="" dxfId="5">
      <formula>OR($L84="Missing",$L84="Overdue")</formula>
    </cfRule>
  </conditionalFormatting>
  <conditionalFormatting sqref="A85:P85">
    <cfRule type="expression" priority="84" aboveAverage="0" equalAverage="0" bottom="0" percent="0" rank="0" text="" dxfId="5">
      <formula>OR($L85="Missing",$L85="Overdue")</formula>
    </cfRule>
  </conditionalFormatting>
  <conditionalFormatting sqref="A86:P86">
    <cfRule type="expression" priority="85" aboveAverage="0" equalAverage="0" bottom="0" percent="0" rank="0" text="" dxfId="5">
      <formula>OR($L86="Missing",$L86="Overdue")</formula>
    </cfRule>
  </conditionalFormatting>
  <conditionalFormatting sqref="A87:P87">
    <cfRule type="expression" priority="86" aboveAverage="0" equalAverage="0" bottom="0" percent="0" rank="0" text="" dxfId="5">
      <formula>OR($L87="Missing",$L87="Overdue")</formula>
    </cfRule>
  </conditionalFormatting>
  <conditionalFormatting sqref="A88:P88">
    <cfRule type="expression" priority="87" aboveAverage="0" equalAverage="0" bottom="0" percent="0" rank="0" text="" dxfId="5">
      <formula>OR($L88="Missing",$L88="Overdue")</formula>
    </cfRule>
  </conditionalFormatting>
  <conditionalFormatting sqref="A89:P89">
    <cfRule type="expression" priority="88" aboveAverage="0" equalAverage="0" bottom="0" percent="0" rank="0" text="" dxfId="5">
      <formula>OR($L89="Missing",$L89="Overdue")</formula>
    </cfRule>
  </conditionalFormatting>
  <conditionalFormatting sqref="A90:P90">
    <cfRule type="expression" priority="89" aboveAverage="0" equalAverage="0" bottom="0" percent="0" rank="0" text="" dxfId="5">
      <formula>OR($L90="Missing",$L90="Overdue")</formula>
    </cfRule>
  </conditionalFormatting>
  <conditionalFormatting sqref="A91:P91">
    <cfRule type="expression" priority="90" aboveAverage="0" equalAverage="0" bottom="0" percent="0" rank="0" text="" dxfId="5">
      <formula>OR($L91="Missing",$L91="Overdue")</formula>
    </cfRule>
  </conditionalFormatting>
  <conditionalFormatting sqref="A92:P92">
    <cfRule type="expression" priority="91" aboveAverage="0" equalAverage="0" bottom="0" percent="0" rank="0" text="" dxfId="5">
      <formula>OR($L92="Missing",$L92="Overdue")</formula>
    </cfRule>
  </conditionalFormatting>
  <conditionalFormatting sqref="A93:P93">
    <cfRule type="expression" priority="92" aboveAverage="0" equalAverage="0" bottom="0" percent="0" rank="0" text="" dxfId="5">
      <formula>OR($L93="Missing",$L93="Overdue")</formula>
    </cfRule>
  </conditionalFormatting>
  <conditionalFormatting sqref="A94:P94">
    <cfRule type="expression" priority="93" aboveAverage="0" equalAverage="0" bottom="0" percent="0" rank="0" text="" dxfId="5">
      <formula>OR($L94="Missing",$L94="Overdue")</formula>
    </cfRule>
  </conditionalFormatting>
  <conditionalFormatting sqref="A95:P95">
    <cfRule type="expression" priority="94" aboveAverage="0" equalAverage="0" bottom="0" percent="0" rank="0" text="" dxfId="5">
      <formula>OR($L95="Missing",$L95="Overdue")</formula>
    </cfRule>
  </conditionalFormatting>
  <conditionalFormatting sqref="A96:P96">
    <cfRule type="expression" priority="95" aboveAverage="0" equalAverage="0" bottom="0" percent="0" rank="0" text="" dxfId="5">
      <formula>OR($L96="Missing",$L96="Overdue")</formula>
    </cfRule>
  </conditionalFormatting>
  <conditionalFormatting sqref="A97:P97">
    <cfRule type="expression" priority="96" aboveAverage="0" equalAverage="0" bottom="0" percent="0" rank="0" text="" dxfId="5">
      <formula>OR($L97="Missing",$L97="Overdue")</formula>
    </cfRule>
  </conditionalFormatting>
  <conditionalFormatting sqref="A98:P98">
    <cfRule type="expression" priority="97" aboveAverage="0" equalAverage="0" bottom="0" percent="0" rank="0" text="" dxfId="5">
      <formula>OR($L98="Missing",$L98="Overdue")</formula>
    </cfRule>
  </conditionalFormatting>
  <conditionalFormatting sqref="A99:P99">
    <cfRule type="expression" priority="98" aboveAverage="0" equalAverage="0" bottom="0" percent="0" rank="0" text="" dxfId="5">
      <formula>OR($L99="Missing",$L99="Overdue")</formula>
    </cfRule>
  </conditionalFormatting>
  <conditionalFormatting sqref="A100:P100">
    <cfRule type="expression" priority="99" aboveAverage="0" equalAverage="0" bottom="0" percent="0" rank="0" text="" dxfId="5">
      <formula>OR($L100="Missing",$L100="Overdue")</formula>
    </cfRule>
  </conditionalFormatting>
  <conditionalFormatting sqref="A101:P101">
    <cfRule type="expression" priority="100" aboveAverage="0" equalAverage="0" bottom="0" percent="0" rank="0" text="" dxfId="5">
      <formula>OR($L101="Missing",$L101="Overdue")</formula>
    </cfRule>
  </conditionalFormatting>
  <conditionalFormatting sqref="A102:P102">
    <cfRule type="expression" priority="101" aboveAverage="0" equalAverage="0" bottom="0" percent="0" rank="0" text="" dxfId="5">
      <formula>OR($L102="Missing",$L102="Overdue")</formula>
    </cfRule>
  </conditionalFormatting>
  <conditionalFormatting sqref="A103:P103">
    <cfRule type="expression" priority="102" aboveAverage="0" equalAverage="0" bottom="0" percent="0" rank="0" text="" dxfId="5">
      <formula>OR($L103="Missing",$L103="Overdue")</formula>
    </cfRule>
  </conditionalFormatting>
  <conditionalFormatting sqref="A104:P104">
    <cfRule type="expression" priority="103" aboveAverage="0" equalAverage="0" bottom="0" percent="0" rank="0" text="" dxfId="5">
      <formula>OR($L104="Missing",$L104="Overdue")</formula>
    </cfRule>
  </conditionalFormatting>
  <conditionalFormatting sqref="A105:P105">
    <cfRule type="expression" priority="104" aboveAverage="0" equalAverage="0" bottom="0" percent="0" rank="0" text="" dxfId="5">
      <formula>OR($L105="Missing",$L105="Overdue")</formula>
    </cfRule>
  </conditionalFormatting>
  <conditionalFormatting sqref="A106:P106">
    <cfRule type="expression" priority="105" aboveAverage="0" equalAverage="0" bottom="0" percent="0" rank="0" text="" dxfId="5">
      <formula>OR($L106="Missing",$L106="Overdue")</formula>
    </cfRule>
  </conditionalFormatting>
  <conditionalFormatting sqref="A107:P107">
    <cfRule type="expression" priority="106" aboveAverage="0" equalAverage="0" bottom="0" percent="0" rank="0" text="" dxfId="5">
      <formula>OR($L107="Missing",$L107="Overdue")</formula>
    </cfRule>
  </conditionalFormatting>
  <dataValidations count="5">
    <dataValidation allowBlank="true" errorStyle="stop" operator="between" showDropDown="false" showErrorMessage="true" showInputMessage="false" sqref="E8:E107" type="list">
      <formula1>"Progress (Partial),Final (Full Job),Conditional,Unconditional"</formula1>
      <formula2>0</formula2>
    </dataValidation>
    <dataValidation allowBlank="true" errorStyle="stop" operator="between" showDropDown="false" showErrorMessage="true" showInputMessage="false" sqref="L8:L107" type="list">
      <formula1>"Received,Pending,Missing,Overdue,Not Required"</formula1>
      <formula2>0</formula2>
    </dataValidation>
    <dataValidation allowBlank="true" errorStyle="stop" operator="between" showDropDown="false" showErrorMessage="true" showInputMessage="false" sqref="M8:M107" type="list">
      <formula1>"Conditional,Unconditional"</formula1>
      <formula2>0</formula2>
    </dataValidation>
    <dataValidation allowBlank="true" errorStyle="stop" operator="between" showDropDown="false" showErrorMessage="true" showInputMessage="false" sqref="N8:N107" type="list">
      <formula1>"Yes,No"</formula1>
      <formula2>0</formula2>
    </dataValidation>
    <dataValidation allowBlank="true" errorStyle="stop" operator="between" showDropDown="false" showErrorMessage="true" showInputMessage="false" sqref="O8:O10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36" hidden="false" customHeight="tru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3"/>
      <c r="D2" s="2" t="s">
        <v>3</v>
      </c>
      <c r="E2" s="3"/>
    </row>
    <row r="3" customFormat="false" ht="21.75" hidden="false" customHeight="true" outlineLevel="0" collapsed="false">
      <c r="A3" s="59" t="s">
        <v>88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customFormat="false" ht="19.5" hidden="false" customHeight="true" outlineLevel="0" collapsed="false">
      <c r="A4" s="60" t="s">
        <v>89</v>
      </c>
      <c r="B4" s="60"/>
      <c r="C4" s="60"/>
      <c r="D4" s="61" t="s">
        <v>90</v>
      </c>
      <c r="E4" s="61" t="s">
        <v>91</v>
      </c>
      <c r="F4" s="61" t="s">
        <v>92</v>
      </c>
      <c r="G4" s="61" t="s">
        <v>93</v>
      </c>
      <c r="H4" s="61" t="s">
        <v>94</v>
      </c>
    </row>
    <row r="5" customFormat="false" ht="15.75" hidden="false" customHeight="true" outlineLevel="0" collapsed="false">
      <c r="A5" s="12" t="s">
        <v>95</v>
      </c>
      <c r="B5" s="12"/>
      <c r="C5" s="12"/>
      <c r="D5" s="12"/>
      <c r="E5" s="13" t="s">
        <v>96</v>
      </c>
      <c r="F5" s="13"/>
      <c r="G5" s="13"/>
      <c r="H5" s="13"/>
      <c r="I5" s="13"/>
      <c r="J5" s="16" t="s">
        <v>97</v>
      </c>
      <c r="K5" s="37" t="s">
        <v>98</v>
      </c>
      <c r="L5" s="17" t="s">
        <v>99</v>
      </c>
      <c r="M5" s="62" t="s">
        <v>100</v>
      </c>
      <c r="N5" s="17" t="s">
        <v>16</v>
      </c>
    </row>
    <row r="6" customFormat="false" ht="30" hidden="false" customHeight="true" outlineLevel="0" collapsed="false">
      <c r="A6" s="18" t="s">
        <v>17</v>
      </c>
      <c r="B6" s="18" t="s">
        <v>18</v>
      </c>
      <c r="C6" s="18" t="s">
        <v>44</v>
      </c>
      <c r="D6" s="18" t="s">
        <v>101</v>
      </c>
      <c r="E6" s="19" t="s">
        <v>102</v>
      </c>
      <c r="F6" s="19" t="s">
        <v>103</v>
      </c>
      <c r="G6" s="19" t="s">
        <v>104</v>
      </c>
      <c r="H6" s="19" t="s">
        <v>105</v>
      </c>
      <c r="I6" s="19" t="s">
        <v>106</v>
      </c>
      <c r="J6" s="18" t="s">
        <v>107</v>
      </c>
      <c r="K6" s="21" t="s">
        <v>108</v>
      </c>
      <c r="L6" s="20" t="s">
        <v>109</v>
      </c>
      <c r="M6" s="63" t="s">
        <v>110</v>
      </c>
      <c r="N6" s="20" t="s">
        <v>111</v>
      </c>
    </row>
    <row r="8" customFormat="false" ht="18" hidden="false" customHeight="true" outlineLevel="0" collapsed="false">
      <c r="A8" s="22" t="n">
        <v>1</v>
      </c>
      <c r="B8" s="23"/>
      <c r="C8" s="24"/>
      <c r="D8" s="24"/>
      <c r="E8" s="64"/>
      <c r="F8" s="64"/>
      <c r="G8" s="64"/>
      <c r="H8" s="64"/>
      <c r="I8" s="64"/>
      <c r="J8" s="65" t="str">
        <f aca="false">IF(COUNTA(E8:I8)=5,E8*0.3+F8*0.25+G8*0.2+H8*0.15+I8*0.1,"")</f>
        <v/>
      </c>
      <c r="K8" s="24"/>
      <c r="L8" s="42"/>
      <c r="M8" s="25"/>
      <c r="N8" s="23"/>
    </row>
    <row r="9" customFormat="false" ht="18" hidden="false" customHeight="true" outlineLevel="0" collapsed="false">
      <c r="A9" s="27" t="n">
        <v>2</v>
      </c>
      <c r="B9" s="28"/>
      <c r="C9" s="29"/>
      <c r="D9" s="29"/>
      <c r="E9" s="64"/>
      <c r="F9" s="64"/>
      <c r="G9" s="64"/>
      <c r="H9" s="64"/>
      <c r="I9" s="64"/>
      <c r="J9" s="65" t="str">
        <f aca="false">IF(COUNTA(E9:I9)=5,E9*0.3+F9*0.25+G9*0.2+H9*0.15+I9*0.1,"")</f>
        <v/>
      </c>
      <c r="K9" s="29"/>
      <c r="L9" s="47"/>
      <c r="M9" s="30"/>
      <c r="N9" s="28"/>
    </row>
    <row r="10" customFormat="false" ht="18" hidden="false" customHeight="true" outlineLevel="0" collapsed="false">
      <c r="A10" s="22" t="n">
        <v>3</v>
      </c>
      <c r="B10" s="23"/>
      <c r="C10" s="24"/>
      <c r="D10" s="24"/>
      <c r="E10" s="64"/>
      <c r="F10" s="64"/>
      <c r="G10" s="64"/>
      <c r="H10" s="64"/>
      <c r="I10" s="64"/>
      <c r="J10" s="65" t="str">
        <f aca="false">IF(COUNTA(E10:I10)=5,E10*0.3+F10*0.25+G10*0.2+H10*0.15+I10*0.1,"")</f>
        <v/>
      </c>
      <c r="K10" s="24"/>
      <c r="L10" s="42"/>
      <c r="M10" s="25"/>
      <c r="N10" s="23"/>
    </row>
    <row r="11" customFormat="false" ht="18" hidden="false" customHeight="true" outlineLevel="0" collapsed="false">
      <c r="A11" s="27" t="n">
        <v>4</v>
      </c>
      <c r="B11" s="28"/>
      <c r="C11" s="29"/>
      <c r="D11" s="29"/>
      <c r="E11" s="64"/>
      <c r="F11" s="64"/>
      <c r="G11" s="64"/>
      <c r="H11" s="64"/>
      <c r="I11" s="64"/>
      <c r="J11" s="65" t="str">
        <f aca="false">IF(COUNTA(E11:I11)=5,E11*0.3+F11*0.25+G11*0.2+H11*0.15+I11*0.1,"")</f>
        <v/>
      </c>
      <c r="K11" s="29"/>
      <c r="L11" s="47"/>
      <c r="M11" s="30"/>
      <c r="N11" s="28"/>
    </row>
    <row r="12" customFormat="false" ht="18" hidden="false" customHeight="true" outlineLevel="0" collapsed="false">
      <c r="A12" s="22" t="n">
        <v>5</v>
      </c>
      <c r="B12" s="23"/>
      <c r="C12" s="24"/>
      <c r="D12" s="24"/>
      <c r="E12" s="64"/>
      <c r="F12" s="64"/>
      <c r="G12" s="64"/>
      <c r="H12" s="64"/>
      <c r="I12" s="64"/>
      <c r="J12" s="65" t="str">
        <f aca="false">IF(COUNTA(E12:I12)=5,E12*0.3+F12*0.25+G12*0.2+H12*0.15+I12*0.1,"")</f>
        <v/>
      </c>
      <c r="K12" s="24"/>
      <c r="L12" s="42"/>
      <c r="M12" s="25"/>
      <c r="N12" s="23"/>
    </row>
    <row r="13" customFormat="false" ht="18" hidden="false" customHeight="true" outlineLevel="0" collapsed="false">
      <c r="A13" s="27" t="n">
        <v>6</v>
      </c>
      <c r="B13" s="28"/>
      <c r="C13" s="29"/>
      <c r="D13" s="29"/>
      <c r="E13" s="64"/>
      <c r="F13" s="64"/>
      <c r="G13" s="64"/>
      <c r="H13" s="64"/>
      <c r="I13" s="64"/>
      <c r="J13" s="65" t="str">
        <f aca="false">IF(COUNTA(E13:I13)=5,E13*0.3+F13*0.25+G13*0.2+H13*0.15+I13*0.1,"")</f>
        <v/>
      </c>
      <c r="K13" s="29"/>
      <c r="L13" s="47"/>
      <c r="M13" s="30"/>
      <c r="N13" s="28"/>
    </row>
    <row r="14" customFormat="false" ht="18" hidden="false" customHeight="true" outlineLevel="0" collapsed="false">
      <c r="A14" s="22" t="n">
        <v>7</v>
      </c>
      <c r="B14" s="23"/>
      <c r="C14" s="24"/>
      <c r="D14" s="24"/>
      <c r="E14" s="64"/>
      <c r="F14" s="64"/>
      <c r="G14" s="64"/>
      <c r="H14" s="64"/>
      <c r="I14" s="64"/>
      <c r="J14" s="65" t="str">
        <f aca="false">IF(COUNTA(E14:I14)=5,E14*0.3+F14*0.25+G14*0.2+H14*0.15+I14*0.1,"")</f>
        <v/>
      </c>
      <c r="K14" s="24"/>
      <c r="L14" s="42"/>
      <c r="M14" s="25"/>
      <c r="N14" s="23"/>
    </row>
    <row r="15" customFormat="false" ht="18" hidden="false" customHeight="true" outlineLevel="0" collapsed="false">
      <c r="A15" s="27" t="n">
        <v>8</v>
      </c>
      <c r="B15" s="28"/>
      <c r="C15" s="29"/>
      <c r="D15" s="29"/>
      <c r="E15" s="64"/>
      <c r="F15" s="64"/>
      <c r="G15" s="64"/>
      <c r="H15" s="64"/>
      <c r="I15" s="64"/>
      <c r="J15" s="65" t="str">
        <f aca="false">IF(COUNTA(E15:I15)=5,E15*0.3+F15*0.25+G15*0.2+H15*0.15+I15*0.1,"")</f>
        <v/>
      </c>
      <c r="K15" s="29"/>
      <c r="L15" s="47"/>
      <c r="M15" s="30"/>
      <c r="N15" s="28"/>
    </row>
    <row r="16" customFormat="false" ht="18" hidden="false" customHeight="true" outlineLevel="0" collapsed="false">
      <c r="A16" s="22" t="n">
        <v>9</v>
      </c>
      <c r="B16" s="23"/>
      <c r="C16" s="24"/>
      <c r="D16" s="24"/>
      <c r="E16" s="64"/>
      <c r="F16" s="64"/>
      <c r="G16" s="64"/>
      <c r="H16" s="64"/>
      <c r="I16" s="64"/>
      <c r="J16" s="65" t="str">
        <f aca="false">IF(COUNTA(E16:I16)=5,E16*0.3+F16*0.25+G16*0.2+H16*0.15+I16*0.1,"")</f>
        <v/>
      </c>
      <c r="K16" s="24"/>
      <c r="L16" s="42"/>
      <c r="M16" s="25"/>
      <c r="N16" s="23"/>
    </row>
    <row r="17" customFormat="false" ht="18" hidden="false" customHeight="true" outlineLevel="0" collapsed="false">
      <c r="A17" s="27" t="n">
        <v>10</v>
      </c>
      <c r="B17" s="28"/>
      <c r="C17" s="29"/>
      <c r="D17" s="29"/>
      <c r="E17" s="64"/>
      <c r="F17" s="64"/>
      <c r="G17" s="64"/>
      <c r="H17" s="64"/>
      <c r="I17" s="64"/>
      <c r="J17" s="65" t="str">
        <f aca="false">IF(COUNTA(E17:I17)=5,E17*0.3+F17*0.25+G17*0.2+H17*0.15+I17*0.1,"")</f>
        <v/>
      </c>
      <c r="K17" s="29"/>
      <c r="L17" s="47"/>
      <c r="M17" s="30"/>
      <c r="N17" s="28"/>
    </row>
    <row r="18" customFormat="false" ht="18" hidden="false" customHeight="true" outlineLevel="0" collapsed="false">
      <c r="A18" s="22" t="n">
        <v>11</v>
      </c>
      <c r="B18" s="23"/>
      <c r="C18" s="24"/>
      <c r="D18" s="24"/>
      <c r="E18" s="64"/>
      <c r="F18" s="64"/>
      <c r="G18" s="64"/>
      <c r="H18" s="64"/>
      <c r="I18" s="64"/>
      <c r="J18" s="65" t="str">
        <f aca="false">IF(COUNTA(E18:I18)=5,E18*0.3+F18*0.25+G18*0.2+H18*0.15+I18*0.1,"")</f>
        <v/>
      </c>
      <c r="K18" s="24"/>
      <c r="L18" s="42"/>
      <c r="M18" s="25"/>
      <c r="N18" s="23"/>
    </row>
    <row r="19" customFormat="false" ht="18" hidden="false" customHeight="true" outlineLevel="0" collapsed="false">
      <c r="A19" s="27" t="n">
        <v>12</v>
      </c>
      <c r="B19" s="28"/>
      <c r="C19" s="29"/>
      <c r="D19" s="29"/>
      <c r="E19" s="64"/>
      <c r="F19" s="64"/>
      <c r="G19" s="64"/>
      <c r="H19" s="64"/>
      <c r="I19" s="64"/>
      <c r="J19" s="65" t="str">
        <f aca="false">IF(COUNTA(E19:I19)=5,E19*0.3+F19*0.25+G19*0.2+H19*0.15+I19*0.1,"")</f>
        <v/>
      </c>
      <c r="K19" s="29"/>
      <c r="L19" s="47"/>
      <c r="M19" s="30"/>
      <c r="N19" s="28"/>
    </row>
    <row r="20" customFormat="false" ht="18" hidden="false" customHeight="true" outlineLevel="0" collapsed="false">
      <c r="A20" s="22" t="n">
        <v>13</v>
      </c>
      <c r="B20" s="23"/>
      <c r="C20" s="24"/>
      <c r="D20" s="24"/>
      <c r="E20" s="64"/>
      <c r="F20" s="64"/>
      <c r="G20" s="64"/>
      <c r="H20" s="64"/>
      <c r="I20" s="64"/>
      <c r="J20" s="65" t="str">
        <f aca="false">IF(COUNTA(E20:I20)=5,E20*0.3+F20*0.25+G20*0.2+H20*0.15+I20*0.1,"")</f>
        <v/>
      </c>
      <c r="K20" s="24"/>
      <c r="L20" s="42"/>
      <c r="M20" s="25"/>
      <c r="N20" s="23"/>
    </row>
    <row r="21" customFormat="false" ht="18" hidden="false" customHeight="true" outlineLevel="0" collapsed="false">
      <c r="A21" s="27" t="n">
        <v>14</v>
      </c>
      <c r="B21" s="28"/>
      <c r="C21" s="29"/>
      <c r="D21" s="29"/>
      <c r="E21" s="64"/>
      <c r="F21" s="64"/>
      <c r="G21" s="64"/>
      <c r="H21" s="64"/>
      <c r="I21" s="64"/>
      <c r="J21" s="65" t="str">
        <f aca="false">IF(COUNTA(E21:I21)=5,E21*0.3+F21*0.25+G21*0.2+H21*0.15+I21*0.1,"")</f>
        <v/>
      </c>
      <c r="K21" s="29"/>
      <c r="L21" s="47"/>
      <c r="M21" s="30"/>
      <c r="N21" s="28"/>
    </row>
    <row r="22" customFormat="false" ht="18" hidden="false" customHeight="true" outlineLevel="0" collapsed="false">
      <c r="A22" s="22" t="n">
        <v>15</v>
      </c>
      <c r="B22" s="23"/>
      <c r="C22" s="24"/>
      <c r="D22" s="24"/>
      <c r="E22" s="64"/>
      <c r="F22" s="64"/>
      <c r="G22" s="64"/>
      <c r="H22" s="64"/>
      <c r="I22" s="64"/>
      <c r="J22" s="65" t="str">
        <f aca="false">IF(COUNTA(E22:I22)=5,E22*0.3+F22*0.25+G22*0.2+H22*0.15+I22*0.1,"")</f>
        <v/>
      </c>
      <c r="K22" s="24"/>
      <c r="L22" s="42"/>
      <c r="M22" s="25"/>
      <c r="N22" s="23"/>
    </row>
    <row r="23" customFormat="false" ht="18" hidden="false" customHeight="true" outlineLevel="0" collapsed="false">
      <c r="A23" s="27" t="n">
        <v>16</v>
      </c>
      <c r="B23" s="28"/>
      <c r="C23" s="29"/>
      <c r="D23" s="29"/>
      <c r="E23" s="64"/>
      <c r="F23" s="64"/>
      <c r="G23" s="64"/>
      <c r="H23" s="64"/>
      <c r="I23" s="64"/>
      <c r="J23" s="65" t="str">
        <f aca="false">IF(COUNTA(E23:I23)=5,E23*0.3+F23*0.25+G23*0.2+H23*0.15+I23*0.1,"")</f>
        <v/>
      </c>
      <c r="K23" s="29"/>
      <c r="L23" s="47"/>
      <c r="M23" s="30"/>
      <c r="N23" s="28"/>
    </row>
    <row r="24" customFormat="false" ht="18" hidden="false" customHeight="true" outlineLevel="0" collapsed="false">
      <c r="A24" s="22" t="n">
        <v>17</v>
      </c>
      <c r="B24" s="23"/>
      <c r="C24" s="24"/>
      <c r="D24" s="24"/>
      <c r="E24" s="64"/>
      <c r="F24" s="64"/>
      <c r="G24" s="64"/>
      <c r="H24" s="64"/>
      <c r="I24" s="64"/>
      <c r="J24" s="65" t="str">
        <f aca="false">IF(COUNTA(E24:I24)=5,E24*0.3+F24*0.25+G24*0.2+H24*0.15+I24*0.1,"")</f>
        <v/>
      </c>
      <c r="K24" s="24"/>
      <c r="L24" s="42"/>
      <c r="M24" s="25"/>
      <c r="N24" s="23"/>
    </row>
    <row r="25" customFormat="false" ht="18" hidden="false" customHeight="true" outlineLevel="0" collapsed="false">
      <c r="A25" s="27" t="n">
        <v>18</v>
      </c>
      <c r="B25" s="28"/>
      <c r="C25" s="29"/>
      <c r="D25" s="29"/>
      <c r="E25" s="64"/>
      <c r="F25" s="64"/>
      <c r="G25" s="64"/>
      <c r="H25" s="64"/>
      <c r="I25" s="64"/>
      <c r="J25" s="65" t="str">
        <f aca="false">IF(COUNTA(E25:I25)=5,E25*0.3+F25*0.25+G25*0.2+H25*0.15+I25*0.1,"")</f>
        <v/>
      </c>
      <c r="K25" s="29"/>
      <c r="L25" s="47"/>
      <c r="M25" s="30"/>
      <c r="N25" s="28"/>
    </row>
    <row r="26" customFormat="false" ht="18" hidden="false" customHeight="true" outlineLevel="0" collapsed="false">
      <c r="A26" s="22" t="n">
        <v>19</v>
      </c>
      <c r="B26" s="23"/>
      <c r="C26" s="24"/>
      <c r="D26" s="24"/>
      <c r="E26" s="64"/>
      <c r="F26" s="64"/>
      <c r="G26" s="64"/>
      <c r="H26" s="64"/>
      <c r="I26" s="64"/>
      <c r="J26" s="65" t="str">
        <f aca="false">IF(COUNTA(E26:I26)=5,E26*0.3+F26*0.25+G26*0.2+H26*0.15+I26*0.1,"")</f>
        <v/>
      </c>
      <c r="K26" s="24"/>
      <c r="L26" s="42"/>
      <c r="M26" s="25"/>
      <c r="N26" s="23"/>
    </row>
    <row r="27" customFormat="false" ht="18" hidden="false" customHeight="true" outlineLevel="0" collapsed="false">
      <c r="A27" s="27" t="n">
        <v>20</v>
      </c>
      <c r="B27" s="28"/>
      <c r="C27" s="29"/>
      <c r="D27" s="29"/>
      <c r="E27" s="64"/>
      <c r="F27" s="64"/>
      <c r="G27" s="64"/>
      <c r="H27" s="64"/>
      <c r="I27" s="64"/>
      <c r="J27" s="65" t="str">
        <f aca="false">IF(COUNTA(E27:I27)=5,E27*0.3+F27*0.25+G27*0.2+H27*0.15+I27*0.1,"")</f>
        <v/>
      </c>
      <c r="K27" s="29"/>
      <c r="L27" s="47"/>
      <c r="M27" s="30"/>
      <c r="N27" s="28"/>
    </row>
    <row r="28" customFormat="false" ht="18" hidden="false" customHeight="true" outlineLevel="0" collapsed="false">
      <c r="A28" s="22" t="n">
        <v>21</v>
      </c>
      <c r="B28" s="23"/>
      <c r="C28" s="24"/>
      <c r="D28" s="24"/>
      <c r="E28" s="64"/>
      <c r="F28" s="64"/>
      <c r="G28" s="64"/>
      <c r="H28" s="64"/>
      <c r="I28" s="64"/>
      <c r="J28" s="65" t="str">
        <f aca="false">IF(COUNTA(E28:I28)=5,E28*0.3+F28*0.25+G28*0.2+H28*0.15+I28*0.1,"")</f>
        <v/>
      </c>
      <c r="K28" s="24"/>
      <c r="L28" s="42"/>
      <c r="M28" s="25"/>
      <c r="N28" s="23"/>
    </row>
    <row r="29" customFormat="false" ht="18" hidden="false" customHeight="true" outlineLevel="0" collapsed="false">
      <c r="A29" s="27" t="n">
        <v>22</v>
      </c>
      <c r="B29" s="28"/>
      <c r="C29" s="29"/>
      <c r="D29" s="29"/>
      <c r="E29" s="64"/>
      <c r="F29" s="64"/>
      <c r="G29" s="64"/>
      <c r="H29" s="64"/>
      <c r="I29" s="64"/>
      <c r="J29" s="65" t="str">
        <f aca="false">IF(COUNTA(E29:I29)=5,E29*0.3+F29*0.25+G29*0.2+H29*0.15+I29*0.1,"")</f>
        <v/>
      </c>
      <c r="K29" s="29"/>
      <c r="L29" s="47"/>
      <c r="M29" s="30"/>
      <c r="N29" s="28"/>
    </row>
    <row r="30" customFormat="false" ht="18" hidden="false" customHeight="true" outlineLevel="0" collapsed="false">
      <c r="A30" s="22" t="n">
        <v>23</v>
      </c>
      <c r="B30" s="23"/>
      <c r="C30" s="24"/>
      <c r="D30" s="24"/>
      <c r="E30" s="64"/>
      <c r="F30" s="64"/>
      <c r="G30" s="64"/>
      <c r="H30" s="64"/>
      <c r="I30" s="64"/>
      <c r="J30" s="65" t="str">
        <f aca="false">IF(COUNTA(E30:I30)=5,E30*0.3+F30*0.25+G30*0.2+H30*0.15+I30*0.1,"")</f>
        <v/>
      </c>
      <c r="K30" s="24"/>
      <c r="L30" s="42"/>
      <c r="M30" s="25"/>
      <c r="N30" s="23"/>
    </row>
    <row r="31" customFormat="false" ht="18" hidden="false" customHeight="true" outlineLevel="0" collapsed="false">
      <c r="A31" s="27" t="n">
        <v>24</v>
      </c>
      <c r="B31" s="28"/>
      <c r="C31" s="29"/>
      <c r="D31" s="29"/>
      <c r="E31" s="64"/>
      <c r="F31" s="64"/>
      <c r="G31" s="64"/>
      <c r="H31" s="64"/>
      <c r="I31" s="64"/>
      <c r="J31" s="65" t="str">
        <f aca="false">IF(COUNTA(E31:I31)=5,E31*0.3+F31*0.25+G31*0.2+H31*0.15+I31*0.1,"")</f>
        <v/>
      </c>
      <c r="K31" s="29"/>
      <c r="L31" s="47"/>
      <c r="M31" s="30"/>
      <c r="N31" s="28"/>
    </row>
    <row r="32" customFormat="false" ht="18" hidden="false" customHeight="true" outlineLevel="0" collapsed="false">
      <c r="A32" s="22" t="n">
        <v>25</v>
      </c>
      <c r="B32" s="23"/>
      <c r="C32" s="24"/>
      <c r="D32" s="24"/>
      <c r="E32" s="64"/>
      <c r="F32" s="64"/>
      <c r="G32" s="64"/>
      <c r="H32" s="64"/>
      <c r="I32" s="64"/>
      <c r="J32" s="65" t="str">
        <f aca="false">IF(COUNTA(E32:I32)=5,E32*0.3+F32*0.25+G32*0.2+H32*0.15+I32*0.1,"")</f>
        <v/>
      </c>
      <c r="K32" s="24"/>
      <c r="L32" s="42"/>
      <c r="M32" s="25"/>
      <c r="N32" s="23"/>
    </row>
    <row r="33" customFormat="false" ht="18" hidden="false" customHeight="true" outlineLevel="0" collapsed="false">
      <c r="A33" s="27" t="n">
        <v>26</v>
      </c>
      <c r="B33" s="28"/>
      <c r="C33" s="29"/>
      <c r="D33" s="29"/>
      <c r="E33" s="64"/>
      <c r="F33" s="64"/>
      <c r="G33" s="64"/>
      <c r="H33" s="64"/>
      <c r="I33" s="64"/>
      <c r="J33" s="65" t="str">
        <f aca="false">IF(COUNTA(E33:I33)=5,E33*0.3+F33*0.25+G33*0.2+H33*0.15+I33*0.1,"")</f>
        <v/>
      </c>
      <c r="K33" s="29"/>
      <c r="L33" s="47"/>
      <c r="M33" s="30"/>
      <c r="N33" s="28"/>
    </row>
    <row r="34" customFormat="false" ht="18" hidden="false" customHeight="true" outlineLevel="0" collapsed="false">
      <c r="A34" s="22" t="n">
        <v>27</v>
      </c>
      <c r="B34" s="23"/>
      <c r="C34" s="24"/>
      <c r="D34" s="24"/>
      <c r="E34" s="64"/>
      <c r="F34" s="64"/>
      <c r="G34" s="64"/>
      <c r="H34" s="64"/>
      <c r="I34" s="64"/>
      <c r="J34" s="65" t="str">
        <f aca="false">IF(COUNTA(E34:I34)=5,E34*0.3+F34*0.25+G34*0.2+H34*0.15+I34*0.1,"")</f>
        <v/>
      </c>
      <c r="K34" s="24"/>
      <c r="L34" s="42"/>
      <c r="M34" s="25"/>
      <c r="N34" s="23"/>
    </row>
    <row r="35" customFormat="false" ht="18" hidden="false" customHeight="true" outlineLevel="0" collapsed="false">
      <c r="A35" s="27" t="n">
        <v>28</v>
      </c>
      <c r="B35" s="28"/>
      <c r="C35" s="29"/>
      <c r="D35" s="29"/>
      <c r="E35" s="64"/>
      <c r="F35" s="64"/>
      <c r="G35" s="64"/>
      <c r="H35" s="64"/>
      <c r="I35" s="64"/>
      <c r="J35" s="65" t="str">
        <f aca="false">IF(COUNTA(E35:I35)=5,E35*0.3+F35*0.25+G35*0.2+H35*0.15+I35*0.1,"")</f>
        <v/>
      </c>
      <c r="K35" s="29"/>
      <c r="L35" s="47"/>
      <c r="M35" s="30"/>
      <c r="N35" s="28"/>
    </row>
    <row r="36" customFormat="false" ht="18" hidden="false" customHeight="true" outlineLevel="0" collapsed="false">
      <c r="A36" s="22" t="n">
        <v>29</v>
      </c>
      <c r="B36" s="23"/>
      <c r="C36" s="24"/>
      <c r="D36" s="24"/>
      <c r="E36" s="64"/>
      <c r="F36" s="64"/>
      <c r="G36" s="64"/>
      <c r="H36" s="64"/>
      <c r="I36" s="64"/>
      <c r="J36" s="65" t="str">
        <f aca="false">IF(COUNTA(E36:I36)=5,E36*0.3+F36*0.25+G36*0.2+H36*0.15+I36*0.1,"")</f>
        <v/>
      </c>
      <c r="K36" s="24"/>
      <c r="L36" s="42"/>
      <c r="M36" s="25"/>
      <c r="N36" s="23"/>
    </row>
    <row r="37" customFormat="false" ht="18" hidden="false" customHeight="true" outlineLevel="0" collapsed="false">
      <c r="A37" s="27" t="n">
        <v>30</v>
      </c>
      <c r="B37" s="28"/>
      <c r="C37" s="29"/>
      <c r="D37" s="29"/>
      <c r="E37" s="64"/>
      <c r="F37" s="64"/>
      <c r="G37" s="64"/>
      <c r="H37" s="64"/>
      <c r="I37" s="64"/>
      <c r="J37" s="65" t="str">
        <f aca="false">IF(COUNTA(E37:I37)=5,E37*0.3+F37*0.25+G37*0.2+H37*0.15+I37*0.1,"")</f>
        <v/>
      </c>
      <c r="K37" s="29"/>
      <c r="L37" s="47"/>
      <c r="M37" s="30"/>
      <c r="N37" s="28"/>
    </row>
    <row r="38" customFormat="false" ht="18" hidden="false" customHeight="true" outlineLevel="0" collapsed="false">
      <c r="A38" s="22" t="n">
        <v>31</v>
      </c>
      <c r="B38" s="23"/>
      <c r="C38" s="24"/>
      <c r="D38" s="24"/>
      <c r="E38" s="64"/>
      <c r="F38" s="64"/>
      <c r="G38" s="64"/>
      <c r="H38" s="64"/>
      <c r="I38" s="64"/>
      <c r="J38" s="65" t="str">
        <f aca="false">IF(COUNTA(E38:I38)=5,E38*0.3+F38*0.25+G38*0.2+H38*0.15+I38*0.1,"")</f>
        <v/>
      </c>
      <c r="K38" s="24"/>
      <c r="L38" s="42"/>
      <c r="M38" s="25"/>
      <c r="N38" s="23"/>
    </row>
    <row r="39" customFormat="false" ht="18" hidden="false" customHeight="true" outlineLevel="0" collapsed="false">
      <c r="A39" s="27" t="n">
        <v>32</v>
      </c>
      <c r="B39" s="28"/>
      <c r="C39" s="29"/>
      <c r="D39" s="29"/>
      <c r="E39" s="64"/>
      <c r="F39" s="64"/>
      <c r="G39" s="64"/>
      <c r="H39" s="64"/>
      <c r="I39" s="64"/>
      <c r="J39" s="65" t="str">
        <f aca="false">IF(COUNTA(E39:I39)=5,E39*0.3+F39*0.25+G39*0.2+H39*0.15+I39*0.1,"")</f>
        <v/>
      </c>
      <c r="K39" s="29"/>
      <c r="L39" s="47"/>
      <c r="M39" s="30"/>
      <c r="N39" s="28"/>
    </row>
    <row r="40" customFormat="false" ht="18" hidden="false" customHeight="true" outlineLevel="0" collapsed="false">
      <c r="A40" s="22" t="n">
        <v>33</v>
      </c>
      <c r="B40" s="23"/>
      <c r="C40" s="24"/>
      <c r="D40" s="24"/>
      <c r="E40" s="64"/>
      <c r="F40" s="64"/>
      <c r="G40" s="64"/>
      <c r="H40" s="64"/>
      <c r="I40" s="64"/>
      <c r="J40" s="65" t="str">
        <f aca="false">IF(COUNTA(E40:I40)=5,E40*0.3+F40*0.25+G40*0.2+H40*0.15+I40*0.1,"")</f>
        <v/>
      </c>
      <c r="K40" s="24"/>
      <c r="L40" s="42"/>
      <c r="M40" s="25"/>
      <c r="N40" s="23"/>
    </row>
    <row r="41" customFormat="false" ht="18" hidden="false" customHeight="true" outlineLevel="0" collapsed="false">
      <c r="A41" s="27" t="n">
        <v>34</v>
      </c>
      <c r="B41" s="28"/>
      <c r="C41" s="29"/>
      <c r="D41" s="29"/>
      <c r="E41" s="64"/>
      <c r="F41" s="64"/>
      <c r="G41" s="64"/>
      <c r="H41" s="64"/>
      <c r="I41" s="64"/>
      <c r="J41" s="65" t="str">
        <f aca="false">IF(COUNTA(E41:I41)=5,E41*0.3+F41*0.25+G41*0.2+H41*0.15+I41*0.1,"")</f>
        <v/>
      </c>
      <c r="K41" s="29"/>
      <c r="L41" s="47"/>
      <c r="M41" s="30"/>
      <c r="N41" s="28"/>
    </row>
    <row r="42" customFormat="false" ht="18" hidden="false" customHeight="true" outlineLevel="0" collapsed="false">
      <c r="A42" s="22" t="n">
        <v>35</v>
      </c>
      <c r="B42" s="23"/>
      <c r="C42" s="24"/>
      <c r="D42" s="24"/>
      <c r="E42" s="64"/>
      <c r="F42" s="64"/>
      <c r="G42" s="64"/>
      <c r="H42" s="64"/>
      <c r="I42" s="64"/>
      <c r="J42" s="65" t="str">
        <f aca="false">IF(COUNTA(E42:I42)=5,E42*0.3+F42*0.25+G42*0.2+H42*0.15+I42*0.1,"")</f>
        <v/>
      </c>
      <c r="K42" s="24"/>
      <c r="L42" s="42"/>
      <c r="M42" s="25"/>
      <c r="N42" s="23"/>
    </row>
    <row r="43" customFormat="false" ht="18" hidden="false" customHeight="true" outlineLevel="0" collapsed="false">
      <c r="A43" s="27" t="n">
        <v>36</v>
      </c>
      <c r="B43" s="28"/>
      <c r="C43" s="29"/>
      <c r="D43" s="29"/>
      <c r="E43" s="64"/>
      <c r="F43" s="64"/>
      <c r="G43" s="64"/>
      <c r="H43" s="64"/>
      <c r="I43" s="64"/>
      <c r="J43" s="65" t="str">
        <f aca="false">IF(COUNTA(E43:I43)=5,E43*0.3+F43*0.25+G43*0.2+H43*0.15+I43*0.1,"")</f>
        <v/>
      </c>
      <c r="K43" s="29"/>
      <c r="L43" s="47"/>
      <c r="M43" s="30"/>
      <c r="N43" s="28"/>
    </row>
    <row r="44" customFormat="false" ht="18" hidden="false" customHeight="true" outlineLevel="0" collapsed="false">
      <c r="A44" s="22" t="n">
        <v>37</v>
      </c>
      <c r="B44" s="23"/>
      <c r="C44" s="24"/>
      <c r="D44" s="24"/>
      <c r="E44" s="64"/>
      <c r="F44" s="64"/>
      <c r="G44" s="64"/>
      <c r="H44" s="64"/>
      <c r="I44" s="64"/>
      <c r="J44" s="65" t="str">
        <f aca="false">IF(COUNTA(E44:I44)=5,E44*0.3+F44*0.25+G44*0.2+H44*0.15+I44*0.1,"")</f>
        <v/>
      </c>
      <c r="K44" s="24"/>
      <c r="L44" s="42"/>
      <c r="M44" s="25"/>
      <c r="N44" s="23"/>
    </row>
    <row r="45" customFormat="false" ht="18" hidden="false" customHeight="true" outlineLevel="0" collapsed="false">
      <c r="A45" s="27" t="n">
        <v>38</v>
      </c>
      <c r="B45" s="28"/>
      <c r="C45" s="29"/>
      <c r="D45" s="29"/>
      <c r="E45" s="64"/>
      <c r="F45" s="64"/>
      <c r="G45" s="64"/>
      <c r="H45" s="64"/>
      <c r="I45" s="64"/>
      <c r="J45" s="65" t="str">
        <f aca="false">IF(COUNTA(E45:I45)=5,E45*0.3+F45*0.25+G45*0.2+H45*0.15+I45*0.1,"")</f>
        <v/>
      </c>
      <c r="K45" s="29"/>
      <c r="L45" s="47"/>
      <c r="M45" s="30"/>
      <c r="N45" s="28"/>
    </row>
    <row r="46" customFormat="false" ht="18" hidden="false" customHeight="true" outlineLevel="0" collapsed="false">
      <c r="A46" s="22" t="n">
        <v>39</v>
      </c>
      <c r="B46" s="23"/>
      <c r="C46" s="24"/>
      <c r="D46" s="24"/>
      <c r="E46" s="64"/>
      <c r="F46" s="64"/>
      <c r="G46" s="64"/>
      <c r="H46" s="64"/>
      <c r="I46" s="64"/>
      <c r="J46" s="65" t="str">
        <f aca="false">IF(COUNTA(E46:I46)=5,E46*0.3+F46*0.25+G46*0.2+H46*0.15+I46*0.1,"")</f>
        <v/>
      </c>
      <c r="K46" s="24"/>
      <c r="L46" s="42"/>
      <c r="M46" s="25"/>
      <c r="N46" s="23"/>
    </row>
    <row r="47" customFormat="false" ht="18" hidden="false" customHeight="true" outlineLevel="0" collapsed="false">
      <c r="A47" s="27" t="n">
        <v>40</v>
      </c>
      <c r="B47" s="28"/>
      <c r="C47" s="29"/>
      <c r="D47" s="29"/>
      <c r="E47" s="64"/>
      <c r="F47" s="64"/>
      <c r="G47" s="64"/>
      <c r="H47" s="64"/>
      <c r="I47" s="64"/>
      <c r="J47" s="65" t="str">
        <f aca="false">IF(COUNTA(E47:I47)=5,E47*0.3+F47*0.25+G47*0.2+H47*0.15+I47*0.1,"")</f>
        <v/>
      </c>
      <c r="K47" s="29"/>
      <c r="L47" s="47"/>
      <c r="M47" s="30"/>
      <c r="N47" s="28"/>
    </row>
    <row r="48" customFormat="false" ht="18" hidden="false" customHeight="true" outlineLevel="0" collapsed="false">
      <c r="A48" s="22" t="n">
        <v>41</v>
      </c>
      <c r="B48" s="23"/>
      <c r="C48" s="24"/>
      <c r="D48" s="24"/>
      <c r="E48" s="64"/>
      <c r="F48" s="64"/>
      <c r="G48" s="64"/>
      <c r="H48" s="64"/>
      <c r="I48" s="64"/>
      <c r="J48" s="65" t="str">
        <f aca="false">IF(COUNTA(E48:I48)=5,E48*0.3+F48*0.25+G48*0.2+H48*0.15+I48*0.1,"")</f>
        <v/>
      </c>
      <c r="K48" s="24"/>
      <c r="L48" s="42"/>
      <c r="M48" s="25"/>
      <c r="N48" s="23"/>
    </row>
    <row r="49" customFormat="false" ht="18" hidden="false" customHeight="true" outlineLevel="0" collapsed="false">
      <c r="A49" s="27" t="n">
        <v>42</v>
      </c>
      <c r="B49" s="28"/>
      <c r="C49" s="29"/>
      <c r="D49" s="29"/>
      <c r="E49" s="64"/>
      <c r="F49" s="64"/>
      <c r="G49" s="64"/>
      <c r="H49" s="64"/>
      <c r="I49" s="64"/>
      <c r="J49" s="65" t="str">
        <f aca="false">IF(COUNTA(E49:I49)=5,E49*0.3+F49*0.25+G49*0.2+H49*0.15+I49*0.1,"")</f>
        <v/>
      </c>
      <c r="K49" s="29"/>
      <c r="L49" s="47"/>
      <c r="M49" s="30"/>
      <c r="N49" s="28"/>
    </row>
    <row r="50" customFormat="false" ht="18" hidden="false" customHeight="true" outlineLevel="0" collapsed="false">
      <c r="A50" s="22" t="n">
        <v>43</v>
      </c>
      <c r="B50" s="23"/>
      <c r="C50" s="24"/>
      <c r="D50" s="24"/>
      <c r="E50" s="64"/>
      <c r="F50" s="64"/>
      <c r="G50" s="64"/>
      <c r="H50" s="64"/>
      <c r="I50" s="64"/>
      <c r="J50" s="65" t="str">
        <f aca="false">IF(COUNTA(E50:I50)=5,E50*0.3+F50*0.25+G50*0.2+H50*0.15+I50*0.1,"")</f>
        <v/>
      </c>
      <c r="K50" s="24"/>
      <c r="L50" s="42"/>
      <c r="M50" s="25"/>
      <c r="N50" s="23"/>
    </row>
    <row r="51" customFormat="false" ht="18" hidden="false" customHeight="true" outlineLevel="0" collapsed="false">
      <c r="A51" s="27" t="n">
        <v>44</v>
      </c>
      <c r="B51" s="28"/>
      <c r="C51" s="29"/>
      <c r="D51" s="29"/>
      <c r="E51" s="64"/>
      <c r="F51" s="64"/>
      <c r="G51" s="64"/>
      <c r="H51" s="64"/>
      <c r="I51" s="64"/>
      <c r="J51" s="65" t="str">
        <f aca="false">IF(COUNTA(E51:I51)=5,E51*0.3+F51*0.25+G51*0.2+H51*0.15+I51*0.1,"")</f>
        <v/>
      </c>
      <c r="K51" s="29"/>
      <c r="L51" s="47"/>
      <c r="M51" s="30"/>
      <c r="N51" s="28"/>
    </row>
    <row r="52" customFormat="false" ht="18" hidden="false" customHeight="true" outlineLevel="0" collapsed="false">
      <c r="A52" s="22" t="n">
        <v>45</v>
      </c>
      <c r="B52" s="23"/>
      <c r="C52" s="24"/>
      <c r="D52" s="24"/>
      <c r="E52" s="64"/>
      <c r="F52" s="64"/>
      <c r="G52" s="64"/>
      <c r="H52" s="64"/>
      <c r="I52" s="64"/>
      <c r="J52" s="65" t="str">
        <f aca="false">IF(COUNTA(E52:I52)=5,E52*0.3+F52*0.25+G52*0.2+H52*0.15+I52*0.1,"")</f>
        <v/>
      </c>
      <c r="K52" s="24"/>
      <c r="L52" s="42"/>
      <c r="M52" s="25"/>
      <c r="N52" s="23"/>
    </row>
    <row r="53" customFormat="false" ht="18" hidden="false" customHeight="true" outlineLevel="0" collapsed="false">
      <c r="A53" s="27" t="n">
        <v>46</v>
      </c>
      <c r="B53" s="28"/>
      <c r="C53" s="29"/>
      <c r="D53" s="29"/>
      <c r="E53" s="64"/>
      <c r="F53" s="64"/>
      <c r="G53" s="64"/>
      <c r="H53" s="64"/>
      <c r="I53" s="64"/>
      <c r="J53" s="65" t="str">
        <f aca="false">IF(COUNTA(E53:I53)=5,E53*0.3+F53*0.25+G53*0.2+H53*0.15+I53*0.1,"")</f>
        <v/>
      </c>
      <c r="K53" s="29"/>
      <c r="L53" s="47"/>
      <c r="M53" s="30"/>
      <c r="N53" s="28"/>
    </row>
    <row r="54" customFormat="false" ht="18" hidden="false" customHeight="true" outlineLevel="0" collapsed="false">
      <c r="A54" s="22" t="n">
        <v>47</v>
      </c>
      <c r="B54" s="23"/>
      <c r="C54" s="24"/>
      <c r="D54" s="24"/>
      <c r="E54" s="64"/>
      <c r="F54" s="64"/>
      <c r="G54" s="64"/>
      <c r="H54" s="64"/>
      <c r="I54" s="64"/>
      <c r="J54" s="65" t="str">
        <f aca="false">IF(COUNTA(E54:I54)=5,E54*0.3+F54*0.25+G54*0.2+H54*0.15+I54*0.1,"")</f>
        <v/>
      </c>
      <c r="K54" s="24"/>
      <c r="L54" s="42"/>
      <c r="M54" s="25"/>
      <c r="N54" s="23"/>
    </row>
    <row r="55" customFormat="false" ht="18" hidden="false" customHeight="true" outlineLevel="0" collapsed="false">
      <c r="A55" s="27" t="n">
        <v>48</v>
      </c>
      <c r="B55" s="28"/>
      <c r="C55" s="29"/>
      <c r="D55" s="29"/>
      <c r="E55" s="64"/>
      <c r="F55" s="64"/>
      <c r="G55" s="64"/>
      <c r="H55" s="64"/>
      <c r="I55" s="64"/>
      <c r="J55" s="65" t="str">
        <f aca="false">IF(COUNTA(E55:I55)=5,E55*0.3+F55*0.25+G55*0.2+H55*0.15+I55*0.1,"")</f>
        <v/>
      </c>
      <c r="K55" s="29"/>
      <c r="L55" s="47"/>
      <c r="M55" s="30"/>
      <c r="N55" s="28"/>
    </row>
    <row r="56" customFormat="false" ht="18" hidden="false" customHeight="true" outlineLevel="0" collapsed="false">
      <c r="A56" s="22" t="n">
        <v>49</v>
      </c>
      <c r="B56" s="23"/>
      <c r="C56" s="24"/>
      <c r="D56" s="24"/>
      <c r="E56" s="64"/>
      <c r="F56" s="64"/>
      <c r="G56" s="64"/>
      <c r="H56" s="64"/>
      <c r="I56" s="64"/>
      <c r="J56" s="65" t="str">
        <f aca="false">IF(COUNTA(E56:I56)=5,E56*0.3+F56*0.25+G56*0.2+H56*0.15+I56*0.1,"")</f>
        <v/>
      </c>
      <c r="K56" s="24"/>
      <c r="L56" s="42"/>
      <c r="M56" s="25"/>
      <c r="N56" s="23"/>
    </row>
    <row r="57" customFormat="false" ht="18" hidden="false" customHeight="true" outlineLevel="0" collapsed="false">
      <c r="A57" s="27" t="n">
        <v>50</v>
      </c>
      <c r="B57" s="28"/>
      <c r="C57" s="29"/>
      <c r="D57" s="29"/>
      <c r="E57" s="64"/>
      <c r="F57" s="64"/>
      <c r="G57" s="64"/>
      <c r="H57" s="64"/>
      <c r="I57" s="64"/>
      <c r="J57" s="65" t="str">
        <f aca="false">IF(COUNTA(E57:I57)=5,E57*0.3+F57*0.25+G57*0.2+H57*0.15+I57*0.1,"")</f>
        <v/>
      </c>
      <c r="K57" s="29"/>
      <c r="L57" s="47"/>
      <c r="M57" s="30"/>
      <c r="N57" s="28"/>
    </row>
    <row r="59" customFormat="false" ht="21.75" hidden="false" customHeight="true" outlineLevel="0" collapsed="false">
      <c r="A59" s="33" t="s">
        <v>34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</sheetData>
  <sheetProtection sheet="true" password="df0a"/>
  <mergeCells count="6">
    <mergeCell ref="A1:N1"/>
    <mergeCell ref="A3:N3"/>
    <mergeCell ref="A4:C4"/>
    <mergeCell ref="A5:D5"/>
    <mergeCell ref="E5:I5"/>
    <mergeCell ref="A59:N59"/>
  </mergeCells>
  <conditionalFormatting sqref="J8:J57">
    <cfRule type="cellIs" priority="2" operator="greaterThanOrEqual" aboveAverage="0" equalAverage="0" bottom="0" percent="0" rank="0" text="" dxfId="0">
      <formula>4</formula>
    </cfRule>
    <cfRule type="cellIs" priority="3" operator="between" aboveAverage="0" equalAverage="0" bottom="0" percent="0" rank="0" text="" dxfId="3">
      <formula>3</formula>
      <formula>4</formula>
    </cfRule>
    <cfRule type="cellIs" priority="4" operator="lessThan" aboveAverage="0" equalAverage="0" bottom="0" percent="0" rank="0" text="" dxfId="2">
      <formula>3</formula>
    </cfRule>
  </conditionalFormatting>
  <conditionalFormatting sqref="K8:K57">
    <cfRule type="cellIs" priority="5" operator="equal" aboveAverage="0" equalAverage="0" bottom="0" percent="0" rank="0" text="" dxfId="0">
      <formula>"Yes — Preferred"</formula>
    </cfRule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3">
      <formula>"Maybe"</formula>
    </cfRule>
    <cfRule type="cellIs" priority="8" operator="equal" aboveAverage="0" equalAverage="0" bottom="0" percent="0" rank="0" text="" dxfId="2">
      <formula>"No"</formula>
    </cfRule>
    <cfRule type="cellIs" priority="9" operator="equal" aboveAverage="0" equalAverage="0" bottom="0" percent="0" rank="0" text="" dxfId="2">
      <formula>"Do Not Use"</formula>
    </cfRule>
  </conditionalFormatting>
  <conditionalFormatting sqref="M8:M57">
    <cfRule type="cellIs" priority="10" operator="greaterThan" aboveAverage="0" equalAverage="0" bottom="0" percent="0" rank="0" text="" dxfId="2">
      <formula>2</formula>
    </cfRule>
    <cfRule type="cellIs" priority="11" operator="between" aboveAverage="0" equalAverage="0" bottom="0" percent="0" rank="0" text="" dxfId="4">
      <formula>1</formula>
      <formula>2</formula>
    </cfRule>
  </conditionalFormatting>
  <dataValidations count="2">
    <dataValidation allowBlank="true" errorStyle="stop" operator="between" showDropDown="false" showErrorMessage="true" showInputMessage="false" sqref="C8:C57" type="list">
      <formula1>"Subcontractor,Vendor,Supplier,Equipment,Labor"</formula1>
      <formula2>0</formula2>
    </dataValidation>
    <dataValidation allowBlank="true" errorStyle="stop" operator="between" showDropDown="false" showErrorMessage="true" showInputMessage="false" sqref="K8:K57" type="list">
      <formula1>"Yes — Preferred,Yes,Maybe,No,Do Not Use"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24"/>
  </cols>
  <sheetData>
    <row r="1" customFormat="false" ht="36" hidden="false" customHeight="true" outlineLevel="0" collapsed="false">
      <c r="A1" s="1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A2" s="2" t="s">
        <v>1</v>
      </c>
      <c r="B2" s="3"/>
      <c r="D2" s="2" t="s">
        <v>3</v>
      </c>
      <c r="E2" s="3"/>
    </row>
    <row r="3" customFormat="false" ht="19.5" hidden="false" customHeight="true" outlineLevel="0" collapsed="false">
      <c r="A3" s="35" t="s">
        <v>37</v>
      </c>
      <c r="B3" s="77" t="n">
        <f aca="true">TODAY()</f>
        <v>46111</v>
      </c>
      <c r="D3" s="6" t="s">
        <v>113</v>
      </c>
      <c r="F3" s="7" t="n">
        <f aca="false">COUNTIFS(H8:H57,"Current")</f>
        <v>0</v>
      </c>
      <c r="G3" s="50" t="s">
        <v>114</v>
      </c>
      <c r="I3" s="51" t="n">
        <f aca="false">COUNTIFS(G8:G57,"&lt;&gt;"&amp;"",G8:G57,"&gt;"&amp;$B$3,G8:G57,"&lt;="&amp;$B$3+30)</f>
        <v>0</v>
      </c>
      <c r="J3" s="8" t="s">
        <v>115</v>
      </c>
      <c r="K3" s="52" t="n">
        <f aca="false">COUNTIFS(G8:G57,"&lt;&gt;"&amp;"",G8:G57,"&lt;"&amp;$B$3)</f>
        <v>0</v>
      </c>
      <c r="L3" s="66" t="s">
        <v>116</v>
      </c>
      <c r="M3" s="67" t="n">
        <f aca="false">COUNTIF(L8:L57,"Missing")</f>
        <v>0</v>
      </c>
    </row>
    <row r="4" customFormat="false" ht="18" hidden="false" customHeight="true" outlineLevel="0" collapsed="false">
      <c r="A4" s="54" t="s">
        <v>117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</row>
    <row r="5" customFormat="false" ht="15.75" hidden="false" customHeight="true" outlineLevel="0" collapsed="false">
      <c r="A5" s="12" t="s">
        <v>95</v>
      </c>
      <c r="B5" s="12"/>
      <c r="C5" s="12"/>
      <c r="D5" s="13" t="s">
        <v>118</v>
      </c>
      <c r="E5" s="13"/>
      <c r="F5" s="13"/>
      <c r="G5" s="13"/>
      <c r="H5" s="15" t="s">
        <v>119</v>
      </c>
      <c r="I5" s="15"/>
      <c r="J5" s="14" t="s">
        <v>120</v>
      </c>
      <c r="K5" s="14"/>
      <c r="L5" s="68" t="s">
        <v>121</v>
      </c>
      <c r="M5" s="68"/>
      <c r="N5" s="17" t="s">
        <v>16</v>
      </c>
    </row>
    <row r="6" customFormat="false" ht="30" hidden="false" customHeight="true" outlineLevel="0" collapsed="false">
      <c r="A6" s="18" t="s">
        <v>17</v>
      </c>
      <c r="B6" s="18" t="s">
        <v>18</v>
      </c>
      <c r="C6" s="18" t="s">
        <v>101</v>
      </c>
      <c r="D6" s="19" t="s">
        <v>122</v>
      </c>
      <c r="E6" s="19" t="s">
        <v>123</v>
      </c>
      <c r="F6" s="19" t="s">
        <v>124</v>
      </c>
      <c r="G6" s="19" t="s">
        <v>125</v>
      </c>
      <c r="H6" s="21" t="s">
        <v>126</v>
      </c>
      <c r="I6" s="21" t="s">
        <v>127</v>
      </c>
      <c r="J6" s="20" t="s">
        <v>128</v>
      </c>
      <c r="K6" s="20" t="s">
        <v>129</v>
      </c>
      <c r="L6" s="56" t="s">
        <v>130</v>
      </c>
      <c r="M6" s="56" t="s">
        <v>131</v>
      </c>
      <c r="N6" s="20" t="s">
        <v>60</v>
      </c>
    </row>
    <row r="8" customFormat="false" ht="18" hidden="false" customHeight="true" outlineLevel="0" collapsed="false">
      <c r="A8" s="22" t="n">
        <v>1</v>
      </c>
      <c r="B8" s="23"/>
      <c r="C8" s="24"/>
      <c r="D8" s="23"/>
      <c r="E8" s="24"/>
      <c r="F8" s="40"/>
      <c r="G8" s="42"/>
      <c r="H8" s="24"/>
      <c r="I8" s="43" t="str">
        <f aca="false">IF(G8&lt;&gt;"",G8-$B$3,"")</f>
        <v/>
      </c>
      <c r="J8" s="23"/>
      <c r="K8" s="42"/>
      <c r="L8" s="24"/>
      <c r="M8" s="24"/>
      <c r="N8" s="23"/>
    </row>
    <row r="9" customFormat="false" ht="18" hidden="false" customHeight="true" outlineLevel="0" collapsed="false">
      <c r="A9" s="27" t="n">
        <v>2</v>
      </c>
      <c r="B9" s="28"/>
      <c r="C9" s="29"/>
      <c r="D9" s="28"/>
      <c r="E9" s="29"/>
      <c r="F9" s="46"/>
      <c r="G9" s="47"/>
      <c r="H9" s="29"/>
      <c r="I9" s="43" t="str">
        <f aca="false">IF(G9&lt;&gt;"",G9-$B$3,"")</f>
        <v/>
      </c>
      <c r="J9" s="28"/>
      <c r="K9" s="47"/>
      <c r="L9" s="29"/>
      <c r="M9" s="29"/>
      <c r="N9" s="28"/>
    </row>
    <row r="10" customFormat="false" ht="18" hidden="false" customHeight="true" outlineLevel="0" collapsed="false">
      <c r="A10" s="22" t="n">
        <v>3</v>
      </c>
      <c r="B10" s="23"/>
      <c r="C10" s="24"/>
      <c r="D10" s="23"/>
      <c r="E10" s="24"/>
      <c r="F10" s="40"/>
      <c r="G10" s="42"/>
      <c r="H10" s="24"/>
      <c r="I10" s="43" t="str">
        <f aca="false">IF(G10&lt;&gt;"",G10-$B$3,"")</f>
        <v/>
      </c>
      <c r="J10" s="23"/>
      <c r="K10" s="42"/>
      <c r="L10" s="24"/>
      <c r="M10" s="24"/>
      <c r="N10" s="23"/>
    </row>
    <row r="11" customFormat="false" ht="18" hidden="false" customHeight="true" outlineLevel="0" collapsed="false">
      <c r="A11" s="27" t="n">
        <v>4</v>
      </c>
      <c r="B11" s="28"/>
      <c r="C11" s="29"/>
      <c r="D11" s="28"/>
      <c r="E11" s="29"/>
      <c r="F11" s="46"/>
      <c r="G11" s="47"/>
      <c r="H11" s="29"/>
      <c r="I11" s="43" t="str">
        <f aca="false">IF(G11&lt;&gt;"",G11-$B$3,"")</f>
        <v/>
      </c>
      <c r="J11" s="28"/>
      <c r="K11" s="47"/>
      <c r="L11" s="29"/>
      <c r="M11" s="29"/>
      <c r="N11" s="28"/>
    </row>
    <row r="12" customFormat="false" ht="18" hidden="false" customHeight="true" outlineLevel="0" collapsed="false">
      <c r="A12" s="22" t="n">
        <v>5</v>
      </c>
      <c r="B12" s="23"/>
      <c r="C12" s="24"/>
      <c r="D12" s="23"/>
      <c r="E12" s="24"/>
      <c r="F12" s="40"/>
      <c r="G12" s="42"/>
      <c r="H12" s="24"/>
      <c r="I12" s="43" t="str">
        <f aca="false">IF(G12&lt;&gt;"",G12-$B$3,"")</f>
        <v/>
      </c>
      <c r="J12" s="23"/>
      <c r="K12" s="42"/>
      <c r="L12" s="24"/>
      <c r="M12" s="24"/>
      <c r="N12" s="23"/>
    </row>
    <row r="13" customFormat="false" ht="18" hidden="false" customHeight="true" outlineLevel="0" collapsed="false">
      <c r="A13" s="27" t="n">
        <v>6</v>
      </c>
      <c r="B13" s="28"/>
      <c r="C13" s="29"/>
      <c r="D13" s="28"/>
      <c r="E13" s="29"/>
      <c r="F13" s="46"/>
      <c r="G13" s="47"/>
      <c r="H13" s="29"/>
      <c r="I13" s="43" t="str">
        <f aca="false">IF(G13&lt;&gt;"",G13-$B$3,"")</f>
        <v/>
      </c>
      <c r="J13" s="28"/>
      <c r="K13" s="47"/>
      <c r="L13" s="29"/>
      <c r="M13" s="29"/>
      <c r="N13" s="28"/>
    </row>
    <row r="14" customFormat="false" ht="18" hidden="false" customHeight="true" outlineLevel="0" collapsed="false">
      <c r="A14" s="22" t="n">
        <v>7</v>
      </c>
      <c r="B14" s="23"/>
      <c r="C14" s="24"/>
      <c r="D14" s="23"/>
      <c r="E14" s="24"/>
      <c r="F14" s="40"/>
      <c r="G14" s="42"/>
      <c r="H14" s="24"/>
      <c r="I14" s="43" t="str">
        <f aca="false">IF(G14&lt;&gt;"",G14-$B$3,"")</f>
        <v/>
      </c>
      <c r="J14" s="23"/>
      <c r="K14" s="42"/>
      <c r="L14" s="24"/>
      <c r="M14" s="24"/>
      <c r="N14" s="23"/>
    </row>
    <row r="15" customFormat="false" ht="18" hidden="false" customHeight="true" outlineLevel="0" collapsed="false">
      <c r="A15" s="27" t="n">
        <v>8</v>
      </c>
      <c r="B15" s="28"/>
      <c r="C15" s="29"/>
      <c r="D15" s="28"/>
      <c r="E15" s="29"/>
      <c r="F15" s="46"/>
      <c r="G15" s="47"/>
      <c r="H15" s="29"/>
      <c r="I15" s="43" t="str">
        <f aca="false">IF(G15&lt;&gt;"",G15-$B$3,"")</f>
        <v/>
      </c>
      <c r="J15" s="28"/>
      <c r="K15" s="47"/>
      <c r="L15" s="29"/>
      <c r="M15" s="29"/>
      <c r="N15" s="28"/>
    </row>
    <row r="16" customFormat="false" ht="18" hidden="false" customHeight="true" outlineLevel="0" collapsed="false">
      <c r="A16" s="22" t="n">
        <v>9</v>
      </c>
      <c r="B16" s="23"/>
      <c r="C16" s="24"/>
      <c r="D16" s="23"/>
      <c r="E16" s="24"/>
      <c r="F16" s="40"/>
      <c r="G16" s="42"/>
      <c r="H16" s="24"/>
      <c r="I16" s="43" t="str">
        <f aca="false">IF(G16&lt;&gt;"",G16-$B$3,"")</f>
        <v/>
      </c>
      <c r="J16" s="23"/>
      <c r="K16" s="42"/>
      <c r="L16" s="24"/>
      <c r="M16" s="24"/>
      <c r="N16" s="23"/>
    </row>
    <row r="17" customFormat="false" ht="18" hidden="false" customHeight="true" outlineLevel="0" collapsed="false">
      <c r="A17" s="27" t="n">
        <v>10</v>
      </c>
      <c r="B17" s="28"/>
      <c r="C17" s="29"/>
      <c r="D17" s="28"/>
      <c r="E17" s="29"/>
      <c r="F17" s="46"/>
      <c r="G17" s="47"/>
      <c r="H17" s="29"/>
      <c r="I17" s="43" t="str">
        <f aca="false">IF(G17&lt;&gt;"",G17-$B$3,"")</f>
        <v/>
      </c>
      <c r="J17" s="28"/>
      <c r="K17" s="47"/>
      <c r="L17" s="29"/>
      <c r="M17" s="29"/>
      <c r="N17" s="28"/>
    </row>
    <row r="18" customFormat="false" ht="18" hidden="false" customHeight="true" outlineLevel="0" collapsed="false">
      <c r="A18" s="22" t="n">
        <v>11</v>
      </c>
      <c r="B18" s="23"/>
      <c r="C18" s="24"/>
      <c r="D18" s="23"/>
      <c r="E18" s="24"/>
      <c r="F18" s="40"/>
      <c r="G18" s="42"/>
      <c r="H18" s="24"/>
      <c r="I18" s="43" t="str">
        <f aca="false">IF(G18&lt;&gt;"",G18-$B$3,"")</f>
        <v/>
      </c>
      <c r="J18" s="23"/>
      <c r="K18" s="42"/>
      <c r="L18" s="24"/>
      <c r="M18" s="24"/>
      <c r="N18" s="23"/>
    </row>
    <row r="19" customFormat="false" ht="18" hidden="false" customHeight="true" outlineLevel="0" collapsed="false">
      <c r="A19" s="27" t="n">
        <v>12</v>
      </c>
      <c r="B19" s="28"/>
      <c r="C19" s="29"/>
      <c r="D19" s="28"/>
      <c r="E19" s="29"/>
      <c r="F19" s="46"/>
      <c r="G19" s="47"/>
      <c r="H19" s="29"/>
      <c r="I19" s="43" t="str">
        <f aca="false">IF(G19&lt;&gt;"",G19-$B$3,"")</f>
        <v/>
      </c>
      <c r="J19" s="28"/>
      <c r="K19" s="47"/>
      <c r="L19" s="29"/>
      <c r="M19" s="29"/>
      <c r="N19" s="28"/>
    </row>
    <row r="20" customFormat="false" ht="18" hidden="false" customHeight="true" outlineLevel="0" collapsed="false">
      <c r="A20" s="22" t="n">
        <v>13</v>
      </c>
      <c r="B20" s="23"/>
      <c r="C20" s="24"/>
      <c r="D20" s="23"/>
      <c r="E20" s="24"/>
      <c r="F20" s="40"/>
      <c r="G20" s="42"/>
      <c r="H20" s="24"/>
      <c r="I20" s="43" t="str">
        <f aca="false">IF(G20&lt;&gt;"",G20-$B$3,"")</f>
        <v/>
      </c>
      <c r="J20" s="23"/>
      <c r="K20" s="42"/>
      <c r="L20" s="24"/>
      <c r="M20" s="24"/>
      <c r="N20" s="23"/>
    </row>
    <row r="21" customFormat="false" ht="18" hidden="false" customHeight="true" outlineLevel="0" collapsed="false">
      <c r="A21" s="27" t="n">
        <v>14</v>
      </c>
      <c r="B21" s="28"/>
      <c r="C21" s="29"/>
      <c r="D21" s="28"/>
      <c r="E21" s="29"/>
      <c r="F21" s="46"/>
      <c r="G21" s="47"/>
      <c r="H21" s="29"/>
      <c r="I21" s="43" t="str">
        <f aca="false">IF(G21&lt;&gt;"",G21-$B$3,"")</f>
        <v/>
      </c>
      <c r="J21" s="28"/>
      <c r="K21" s="47"/>
      <c r="L21" s="29"/>
      <c r="M21" s="29"/>
      <c r="N21" s="28"/>
    </row>
    <row r="22" customFormat="false" ht="18" hidden="false" customHeight="true" outlineLevel="0" collapsed="false">
      <c r="A22" s="22" t="n">
        <v>15</v>
      </c>
      <c r="B22" s="23"/>
      <c r="C22" s="24"/>
      <c r="D22" s="23"/>
      <c r="E22" s="24"/>
      <c r="F22" s="40"/>
      <c r="G22" s="42"/>
      <c r="H22" s="24"/>
      <c r="I22" s="43" t="str">
        <f aca="false">IF(G22&lt;&gt;"",G22-$B$3,"")</f>
        <v/>
      </c>
      <c r="J22" s="23"/>
      <c r="K22" s="42"/>
      <c r="L22" s="24"/>
      <c r="M22" s="24"/>
      <c r="N22" s="23"/>
    </row>
    <row r="23" customFormat="false" ht="18" hidden="false" customHeight="true" outlineLevel="0" collapsed="false">
      <c r="A23" s="27" t="n">
        <v>16</v>
      </c>
      <c r="B23" s="28"/>
      <c r="C23" s="29"/>
      <c r="D23" s="28"/>
      <c r="E23" s="29"/>
      <c r="F23" s="46"/>
      <c r="G23" s="47"/>
      <c r="H23" s="29"/>
      <c r="I23" s="43" t="str">
        <f aca="false">IF(G23&lt;&gt;"",G23-$B$3,"")</f>
        <v/>
      </c>
      <c r="J23" s="28"/>
      <c r="K23" s="47"/>
      <c r="L23" s="29"/>
      <c r="M23" s="29"/>
      <c r="N23" s="28"/>
    </row>
    <row r="24" customFormat="false" ht="18" hidden="false" customHeight="true" outlineLevel="0" collapsed="false">
      <c r="A24" s="22" t="n">
        <v>17</v>
      </c>
      <c r="B24" s="23"/>
      <c r="C24" s="24"/>
      <c r="D24" s="23"/>
      <c r="E24" s="24"/>
      <c r="F24" s="40"/>
      <c r="G24" s="42"/>
      <c r="H24" s="24"/>
      <c r="I24" s="43" t="str">
        <f aca="false">IF(G24&lt;&gt;"",G24-$B$3,"")</f>
        <v/>
      </c>
      <c r="J24" s="23"/>
      <c r="K24" s="42"/>
      <c r="L24" s="24"/>
      <c r="M24" s="24"/>
      <c r="N24" s="23"/>
    </row>
    <row r="25" customFormat="false" ht="18" hidden="false" customHeight="true" outlineLevel="0" collapsed="false">
      <c r="A25" s="27" t="n">
        <v>18</v>
      </c>
      <c r="B25" s="28"/>
      <c r="C25" s="29"/>
      <c r="D25" s="28"/>
      <c r="E25" s="29"/>
      <c r="F25" s="46"/>
      <c r="G25" s="47"/>
      <c r="H25" s="29"/>
      <c r="I25" s="43" t="str">
        <f aca="false">IF(G25&lt;&gt;"",G25-$B$3,"")</f>
        <v/>
      </c>
      <c r="J25" s="28"/>
      <c r="K25" s="47"/>
      <c r="L25" s="29"/>
      <c r="M25" s="29"/>
      <c r="N25" s="28"/>
    </row>
    <row r="26" customFormat="false" ht="18" hidden="false" customHeight="true" outlineLevel="0" collapsed="false">
      <c r="A26" s="22" t="n">
        <v>19</v>
      </c>
      <c r="B26" s="23"/>
      <c r="C26" s="24"/>
      <c r="D26" s="23"/>
      <c r="E26" s="24"/>
      <c r="F26" s="40"/>
      <c r="G26" s="42"/>
      <c r="H26" s="24"/>
      <c r="I26" s="43" t="str">
        <f aca="false">IF(G26&lt;&gt;"",G26-$B$3,"")</f>
        <v/>
      </c>
      <c r="J26" s="23"/>
      <c r="K26" s="42"/>
      <c r="L26" s="24"/>
      <c r="M26" s="24"/>
      <c r="N26" s="23"/>
    </row>
    <row r="27" customFormat="false" ht="18" hidden="false" customHeight="true" outlineLevel="0" collapsed="false">
      <c r="A27" s="27" t="n">
        <v>20</v>
      </c>
      <c r="B27" s="28"/>
      <c r="C27" s="29"/>
      <c r="D27" s="28"/>
      <c r="E27" s="29"/>
      <c r="F27" s="46"/>
      <c r="G27" s="47"/>
      <c r="H27" s="29"/>
      <c r="I27" s="43" t="str">
        <f aca="false">IF(G27&lt;&gt;"",G27-$B$3,"")</f>
        <v/>
      </c>
      <c r="J27" s="28"/>
      <c r="K27" s="47"/>
      <c r="L27" s="29"/>
      <c r="M27" s="29"/>
      <c r="N27" s="28"/>
    </row>
    <row r="28" customFormat="false" ht="18" hidden="false" customHeight="true" outlineLevel="0" collapsed="false">
      <c r="A28" s="22" t="n">
        <v>21</v>
      </c>
      <c r="B28" s="23"/>
      <c r="C28" s="24"/>
      <c r="D28" s="23"/>
      <c r="E28" s="24"/>
      <c r="F28" s="40"/>
      <c r="G28" s="42"/>
      <c r="H28" s="24"/>
      <c r="I28" s="43" t="str">
        <f aca="false">IF(G28&lt;&gt;"",G28-$B$3,"")</f>
        <v/>
      </c>
      <c r="J28" s="23"/>
      <c r="K28" s="42"/>
      <c r="L28" s="24"/>
      <c r="M28" s="24"/>
      <c r="N28" s="23"/>
    </row>
    <row r="29" customFormat="false" ht="18" hidden="false" customHeight="true" outlineLevel="0" collapsed="false">
      <c r="A29" s="27" t="n">
        <v>22</v>
      </c>
      <c r="B29" s="28"/>
      <c r="C29" s="29"/>
      <c r="D29" s="28"/>
      <c r="E29" s="29"/>
      <c r="F29" s="46"/>
      <c r="G29" s="47"/>
      <c r="H29" s="29"/>
      <c r="I29" s="43" t="str">
        <f aca="false">IF(G29&lt;&gt;"",G29-$B$3,"")</f>
        <v/>
      </c>
      <c r="J29" s="28"/>
      <c r="K29" s="47"/>
      <c r="L29" s="29"/>
      <c r="M29" s="29"/>
      <c r="N29" s="28"/>
    </row>
    <row r="30" customFormat="false" ht="18" hidden="false" customHeight="true" outlineLevel="0" collapsed="false">
      <c r="A30" s="22" t="n">
        <v>23</v>
      </c>
      <c r="B30" s="23"/>
      <c r="C30" s="24"/>
      <c r="D30" s="23"/>
      <c r="E30" s="24"/>
      <c r="F30" s="40"/>
      <c r="G30" s="42"/>
      <c r="H30" s="24"/>
      <c r="I30" s="43" t="str">
        <f aca="false">IF(G30&lt;&gt;"",G30-$B$3,"")</f>
        <v/>
      </c>
      <c r="J30" s="23"/>
      <c r="K30" s="42"/>
      <c r="L30" s="24"/>
      <c r="M30" s="24"/>
      <c r="N30" s="23"/>
    </row>
    <row r="31" customFormat="false" ht="18" hidden="false" customHeight="true" outlineLevel="0" collapsed="false">
      <c r="A31" s="27" t="n">
        <v>24</v>
      </c>
      <c r="B31" s="28"/>
      <c r="C31" s="29"/>
      <c r="D31" s="28"/>
      <c r="E31" s="29"/>
      <c r="F31" s="46"/>
      <c r="G31" s="47"/>
      <c r="H31" s="29"/>
      <c r="I31" s="43" t="str">
        <f aca="false">IF(G31&lt;&gt;"",G31-$B$3,"")</f>
        <v/>
      </c>
      <c r="J31" s="28"/>
      <c r="K31" s="47"/>
      <c r="L31" s="29"/>
      <c r="M31" s="29"/>
      <c r="N31" s="28"/>
    </row>
    <row r="32" customFormat="false" ht="18" hidden="false" customHeight="true" outlineLevel="0" collapsed="false">
      <c r="A32" s="22" t="n">
        <v>25</v>
      </c>
      <c r="B32" s="23"/>
      <c r="C32" s="24"/>
      <c r="D32" s="23"/>
      <c r="E32" s="24"/>
      <c r="F32" s="40"/>
      <c r="G32" s="42"/>
      <c r="H32" s="24"/>
      <c r="I32" s="43" t="str">
        <f aca="false">IF(G32&lt;&gt;"",G32-$B$3,"")</f>
        <v/>
      </c>
      <c r="J32" s="23"/>
      <c r="K32" s="42"/>
      <c r="L32" s="24"/>
      <c r="M32" s="24"/>
      <c r="N32" s="23"/>
    </row>
    <row r="33" customFormat="false" ht="18" hidden="false" customHeight="true" outlineLevel="0" collapsed="false">
      <c r="A33" s="27" t="n">
        <v>26</v>
      </c>
      <c r="B33" s="28"/>
      <c r="C33" s="29"/>
      <c r="D33" s="28"/>
      <c r="E33" s="29"/>
      <c r="F33" s="46"/>
      <c r="G33" s="47"/>
      <c r="H33" s="29"/>
      <c r="I33" s="43" t="str">
        <f aca="false">IF(G33&lt;&gt;"",G33-$B$3,"")</f>
        <v/>
      </c>
      <c r="J33" s="28"/>
      <c r="K33" s="47"/>
      <c r="L33" s="29"/>
      <c r="M33" s="29"/>
      <c r="N33" s="28"/>
    </row>
    <row r="34" customFormat="false" ht="18" hidden="false" customHeight="true" outlineLevel="0" collapsed="false">
      <c r="A34" s="22" t="n">
        <v>27</v>
      </c>
      <c r="B34" s="23"/>
      <c r="C34" s="24"/>
      <c r="D34" s="23"/>
      <c r="E34" s="24"/>
      <c r="F34" s="40"/>
      <c r="G34" s="42"/>
      <c r="H34" s="24"/>
      <c r="I34" s="43" t="str">
        <f aca="false">IF(G34&lt;&gt;"",G34-$B$3,"")</f>
        <v/>
      </c>
      <c r="J34" s="23"/>
      <c r="K34" s="42"/>
      <c r="L34" s="24"/>
      <c r="M34" s="24"/>
      <c r="N34" s="23"/>
    </row>
    <row r="35" customFormat="false" ht="18" hidden="false" customHeight="true" outlineLevel="0" collapsed="false">
      <c r="A35" s="27" t="n">
        <v>28</v>
      </c>
      <c r="B35" s="28"/>
      <c r="C35" s="29"/>
      <c r="D35" s="28"/>
      <c r="E35" s="29"/>
      <c r="F35" s="46"/>
      <c r="G35" s="47"/>
      <c r="H35" s="29"/>
      <c r="I35" s="43" t="str">
        <f aca="false">IF(G35&lt;&gt;"",G35-$B$3,"")</f>
        <v/>
      </c>
      <c r="J35" s="28"/>
      <c r="K35" s="47"/>
      <c r="L35" s="29"/>
      <c r="M35" s="29"/>
      <c r="N35" s="28"/>
    </row>
    <row r="36" customFormat="false" ht="18" hidden="false" customHeight="true" outlineLevel="0" collapsed="false">
      <c r="A36" s="22" t="n">
        <v>29</v>
      </c>
      <c r="B36" s="23"/>
      <c r="C36" s="24"/>
      <c r="D36" s="23"/>
      <c r="E36" s="24"/>
      <c r="F36" s="40"/>
      <c r="G36" s="42"/>
      <c r="H36" s="24"/>
      <c r="I36" s="43" t="str">
        <f aca="false">IF(G36&lt;&gt;"",G36-$B$3,"")</f>
        <v/>
      </c>
      <c r="J36" s="23"/>
      <c r="K36" s="42"/>
      <c r="L36" s="24"/>
      <c r="M36" s="24"/>
      <c r="N36" s="23"/>
    </row>
    <row r="37" customFormat="false" ht="18" hidden="false" customHeight="true" outlineLevel="0" collapsed="false">
      <c r="A37" s="27" t="n">
        <v>30</v>
      </c>
      <c r="B37" s="28"/>
      <c r="C37" s="29"/>
      <c r="D37" s="28"/>
      <c r="E37" s="29"/>
      <c r="F37" s="46"/>
      <c r="G37" s="47"/>
      <c r="H37" s="29"/>
      <c r="I37" s="43" t="str">
        <f aca="false">IF(G37&lt;&gt;"",G37-$B$3,"")</f>
        <v/>
      </c>
      <c r="J37" s="28"/>
      <c r="K37" s="47"/>
      <c r="L37" s="29"/>
      <c r="M37" s="29"/>
      <c r="N37" s="28"/>
    </row>
    <row r="38" customFormat="false" ht="18" hidden="false" customHeight="true" outlineLevel="0" collapsed="false">
      <c r="A38" s="22" t="n">
        <v>31</v>
      </c>
      <c r="B38" s="23"/>
      <c r="C38" s="24"/>
      <c r="D38" s="23"/>
      <c r="E38" s="24"/>
      <c r="F38" s="40"/>
      <c r="G38" s="42"/>
      <c r="H38" s="24"/>
      <c r="I38" s="43" t="str">
        <f aca="false">IF(G38&lt;&gt;"",G38-$B$3,"")</f>
        <v/>
      </c>
      <c r="J38" s="23"/>
      <c r="K38" s="42"/>
      <c r="L38" s="24"/>
      <c r="M38" s="24"/>
      <c r="N38" s="23"/>
    </row>
    <row r="39" customFormat="false" ht="18" hidden="false" customHeight="true" outlineLevel="0" collapsed="false">
      <c r="A39" s="27" t="n">
        <v>32</v>
      </c>
      <c r="B39" s="28"/>
      <c r="C39" s="29"/>
      <c r="D39" s="28"/>
      <c r="E39" s="29"/>
      <c r="F39" s="46"/>
      <c r="G39" s="47"/>
      <c r="H39" s="29"/>
      <c r="I39" s="43" t="str">
        <f aca="false">IF(G39&lt;&gt;"",G39-$B$3,"")</f>
        <v/>
      </c>
      <c r="J39" s="28"/>
      <c r="K39" s="47"/>
      <c r="L39" s="29"/>
      <c r="M39" s="29"/>
      <c r="N39" s="28"/>
    </row>
    <row r="40" customFormat="false" ht="18" hidden="false" customHeight="true" outlineLevel="0" collapsed="false">
      <c r="A40" s="22" t="n">
        <v>33</v>
      </c>
      <c r="B40" s="23"/>
      <c r="C40" s="24"/>
      <c r="D40" s="23"/>
      <c r="E40" s="24"/>
      <c r="F40" s="40"/>
      <c r="G40" s="42"/>
      <c r="H40" s="24"/>
      <c r="I40" s="43" t="str">
        <f aca="false">IF(G40&lt;&gt;"",G40-$B$3,"")</f>
        <v/>
      </c>
      <c r="J40" s="23"/>
      <c r="K40" s="42"/>
      <c r="L40" s="24"/>
      <c r="M40" s="24"/>
      <c r="N40" s="23"/>
    </row>
    <row r="41" customFormat="false" ht="18" hidden="false" customHeight="true" outlineLevel="0" collapsed="false">
      <c r="A41" s="27" t="n">
        <v>34</v>
      </c>
      <c r="B41" s="28"/>
      <c r="C41" s="29"/>
      <c r="D41" s="28"/>
      <c r="E41" s="29"/>
      <c r="F41" s="46"/>
      <c r="G41" s="47"/>
      <c r="H41" s="29"/>
      <c r="I41" s="43" t="str">
        <f aca="false">IF(G41&lt;&gt;"",G41-$B$3,"")</f>
        <v/>
      </c>
      <c r="J41" s="28"/>
      <c r="K41" s="47"/>
      <c r="L41" s="29"/>
      <c r="M41" s="29"/>
      <c r="N41" s="28"/>
    </row>
    <row r="42" customFormat="false" ht="18" hidden="false" customHeight="true" outlineLevel="0" collapsed="false">
      <c r="A42" s="22" t="n">
        <v>35</v>
      </c>
      <c r="B42" s="23"/>
      <c r="C42" s="24"/>
      <c r="D42" s="23"/>
      <c r="E42" s="24"/>
      <c r="F42" s="40"/>
      <c r="G42" s="42"/>
      <c r="H42" s="24"/>
      <c r="I42" s="43" t="str">
        <f aca="false">IF(G42&lt;&gt;"",G42-$B$3,"")</f>
        <v/>
      </c>
      <c r="J42" s="23"/>
      <c r="K42" s="42"/>
      <c r="L42" s="24"/>
      <c r="M42" s="24"/>
      <c r="N42" s="23"/>
    </row>
    <row r="43" customFormat="false" ht="18" hidden="false" customHeight="true" outlineLevel="0" collapsed="false">
      <c r="A43" s="27" t="n">
        <v>36</v>
      </c>
      <c r="B43" s="28"/>
      <c r="C43" s="29"/>
      <c r="D43" s="28"/>
      <c r="E43" s="29"/>
      <c r="F43" s="46"/>
      <c r="G43" s="47"/>
      <c r="H43" s="29"/>
      <c r="I43" s="43" t="str">
        <f aca="false">IF(G43&lt;&gt;"",G43-$B$3,"")</f>
        <v/>
      </c>
      <c r="J43" s="28"/>
      <c r="K43" s="47"/>
      <c r="L43" s="29"/>
      <c r="M43" s="29"/>
      <c r="N43" s="28"/>
    </row>
    <row r="44" customFormat="false" ht="18" hidden="false" customHeight="true" outlineLevel="0" collapsed="false">
      <c r="A44" s="22" t="n">
        <v>37</v>
      </c>
      <c r="B44" s="23"/>
      <c r="C44" s="24"/>
      <c r="D44" s="23"/>
      <c r="E44" s="24"/>
      <c r="F44" s="40"/>
      <c r="G44" s="42"/>
      <c r="H44" s="24"/>
      <c r="I44" s="43" t="str">
        <f aca="false">IF(G44&lt;&gt;"",G44-$B$3,"")</f>
        <v/>
      </c>
      <c r="J44" s="23"/>
      <c r="K44" s="42"/>
      <c r="L44" s="24"/>
      <c r="M44" s="24"/>
      <c r="N44" s="23"/>
    </row>
    <row r="45" customFormat="false" ht="18" hidden="false" customHeight="true" outlineLevel="0" collapsed="false">
      <c r="A45" s="27" t="n">
        <v>38</v>
      </c>
      <c r="B45" s="28"/>
      <c r="C45" s="29"/>
      <c r="D45" s="28"/>
      <c r="E45" s="29"/>
      <c r="F45" s="46"/>
      <c r="G45" s="47"/>
      <c r="H45" s="29"/>
      <c r="I45" s="43" t="str">
        <f aca="false">IF(G45&lt;&gt;"",G45-$B$3,"")</f>
        <v/>
      </c>
      <c r="J45" s="28"/>
      <c r="K45" s="47"/>
      <c r="L45" s="29"/>
      <c r="M45" s="29"/>
      <c r="N45" s="28"/>
    </row>
    <row r="46" customFormat="false" ht="18" hidden="false" customHeight="true" outlineLevel="0" collapsed="false">
      <c r="A46" s="22" t="n">
        <v>39</v>
      </c>
      <c r="B46" s="23"/>
      <c r="C46" s="24"/>
      <c r="D46" s="23"/>
      <c r="E46" s="24"/>
      <c r="F46" s="40"/>
      <c r="G46" s="42"/>
      <c r="H46" s="24"/>
      <c r="I46" s="43" t="str">
        <f aca="false">IF(G46&lt;&gt;"",G46-$B$3,"")</f>
        <v/>
      </c>
      <c r="J46" s="23"/>
      <c r="K46" s="42"/>
      <c r="L46" s="24"/>
      <c r="M46" s="24"/>
      <c r="N46" s="23"/>
    </row>
    <row r="47" customFormat="false" ht="18" hidden="false" customHeight="true" outlineLevel="0" collapsed="false">
      <c r="A47" s="27" t="n">
        <v>40</v>
      </c>
      <c r="B47" s="28"/>
      <c r="C47" s="29"/>
      <c r="D47" s="28"/>
      <c r="E47" s="29"/>
      <c r="F47" s="46"/>
      <c r="G47" s="47"/>
      <c r="H47" s="29"/>
      <c r="I47" s="43" t="str">
        <f aca="false">IF(G47&lt;&gt;"",G47-$B$3,"")</f>
        <v/>
      </c>
      <c r="J47" s="28"/>
      <c r="K47" s="47"/>
      <c r="L47" s="29"/>
      <c r="M47" s="29"/>
      <c r="N47" s="28"/>
    </row>
    <row r="48" customFormat="false" ht="18" hidden="false" customHeight="true" outlineLevel="0" collapsed="false">
      <c r="A48" s="22" t="n">
        <v>41</v>
      </c>
      <c r="B48" s="23"/>
      <c r="C48" s="24"/>
      <c r="D48" s="23"/>
      <c r="E48" s="24"/>
      <c r="F48" s="40"/>
      <c r="G48" s="42"/>
      <c r="H48" s="24"/>
      <c r="I48" s="43" t="str">
        <f aca="false">IF(G48&lt;&gt;"",G48-$B$3,"")</f>
        <v/>
      </c>
      <c r="J48" s="23"/>
      <c r="K48" s="42"/>
      <c r="L48" s="24"/>
      <c r="M48" s="24"/>
      <c r="N48" s="23"/>
    </row>
    <row r="49" customFormat="false" ht="18" hidden="false" customHeight="true" outlineLevel="0" collapsed="false">
      <c r="A49" s="27" t="n">
        <v>42</v>
      </c>
      <c r="B49" s="28"/>
      <c r="C49" s="29"/>
      <c r="D49" s="28"/>
      <c r="E49" s="29"/>
      <c r="F49" s="46"/>
      <c r="G49" s="47"/>
      <c r="H49" s="29"/>
      <c r="I49" s="43" t="str">
        <f aca="false">IF(G49&lt;&gt;"",G49-$B$3,"")</f>
        <v/>
      </c>
      <c r="J49" s="28"/>
      <c r="K49" s="47"/>
      <c r="L49" s="29"/>
      <c r="M49" s="29"/>
      <c r="N49" s="28"/>
    </row>
    <row r="50" customFormat="false" ht="18" hidden="false" customHeight="true" outlineLevel="0" collapsed="false">
      <c r="A50" s="22" t="n">
        <v>43</v>
      </c>
      <c r="B50" s="23"/>
      <c r="C50" s="24"/>
      <c r="D50" s="23"/>
      <c r="E50" s="24"/>
      <c r="F50" s="40"/>
      <c r="G50" s="42"/>
      <c r="H50" s="24"/>
      <c r="I50" s="43" t="str">
        <f aca="false">IF(G50&lt;&gt;"",G50-$B$3,"")</f>
        <v/>
      </c>
      <c r="J50" s="23"/>
      <c r="K50" s="42"/>
      <c r="L50" s="24"/>
      <c r="M50" s="24"/>
      <c r="N50" s="23"/>
    </row>
    <row r="51" customFormat="false" ht="18" hidden="false" customHeight="true" outlineLevel="0" collapsed="false">
      <c r="A51" s="27" t="n">
        <v>44</v>
      </c>
      <c r="B51" s="28"/>
      <c r="C51" s="29"/>
      <c r="D51" s="28"/>
      <c r="E51" s="29"/>
      <c r="F51" s="46"/>
      <c r="G51" s="47"/>
      <c r="H51" s="29"/>
      <c r="I51" s="43" t="str">
        <f aca="false">IF(G51&lt;&gt;"",G51-$B$3,"")</f>
        <v/>
      </c>
      <c r="J51" s="28"/>
      <c r="K51" s="47"/>
      <c r="L51" s="29"/>
      <c r="M51" s="29"/>
      <c r="N51" s="28"/>
    </row>
    <row r="52" customFormat="false" ht="18" hidden="false" customHeight="true" outlineLevel="0" collapsed="false">
      <c r="A52" s="22" t="n">
        <v>45</v>
      </c>
      <c r="B52" s="23"/>
      <c r="C52" s="24"/>
      <c r="D52" s="23"/>
      <c r="E52" s="24"/>
      <c r="F52" s="40"/>
      <c r="G52" s="42"/>
      <c r="H52" s="24"/>
      <c r="I52" s="43" t="str">
        <f aca="false">IF(G52&lt;&gt;"",G52-$B$3,"")</f>
        <v/>
      </c>
      <c r="J52" s="23"/>
      <c r="K52" s="42"/>
      <c r="L52" s="24"/>
      <c r="M52" s="24"/>
      <c r="N52" s="23"/>
    </row>
    <row r="53" customFormat="false" ht="18" hidden="false" customHeight="true" outlineLevel="0" collapsed="false">
      <c r="A53" s="27" t="n">
        <v>46</v>
      </c>
      <c r="B53" s="28"/>
      <c r="C53" s="29"/>
      <c r="D53" s="28"/>
      <c r="E53" s="29"/>
      <c r="F53" s="46"/>
      <c r="G53" s="47"/>
      <c r="H53" s="29"/>
      <c r="I53" s="43" t="str">
        <f aca="false">IF(G53&lt;&gt;"",G53-$B$3,"")</f>
        <v/>
      </c>
      <c r="J53" s="28"/>
      <c r="K53" s="47"/>
      <c r="L53" s="29"/>
      <c r="M53" s="29"/>
      <c r="N53" s="28"/>
    </row>
    <row r="54" customFormat="false" ht="18" hidden="false" customHeight="true" outlineLevel="0" collapsed="false">
      <c r="A54" s="22" t="n">
        <v>47</v>
      </c>
      <c r="B54" s="23"/>
      <c r="C54" s="24"/>
      <c r="D54" s="23"/>
      <c r="E54" s="24"/>
      <c r="F54" s="40"/>
      <c r="G54" s="42"/>
      <c r="H54" s="24"/>
      <c r="I54" s="43" t="str">
        <f aca="false">IF(G54&lt;&gt;"",G54-$B$3,"")</f>
        <v/>
      </c>
      <c r="J54" s="23"/>
      <c r="K54" s="42"/>
      <c r="L54" s="24"/>
      <c r="M54" s="24"/>
      <c r="N54" s="23"/>
    </row>
    <row r="55" customFormat="false" ht="18" hidden="false" customHeight="true" outlineLevel="0" collapsed="false">
      <c r="A55" s="27" t="n">
        <v>48</v>
      </c>
      <c r="B55" s="28"/>
      <c r="C55" s="29"/>
      <c r="D55" s="28"/>
      <c r="E55" s="29"/>
      <c r="F55" s="46"/>
      <c r="G55" s="47"/>
      <c r="H55" s="29"/>
      <c r="I55" s="43" t="str">
        <f aca="false">IF(G55&lt;&gt;"",G55-$B$3,"")</f>
        <v/>
      </c>
      <c r="J55" s="28"/>
      <c r="K55" s="47"/>
      <c r="L55" s="29"/>
      <c r="M55" s="29"/>
      <c r="N55" s="28"/>
    </row>
    <row r="56" customFormat="false" ht="18" hidden="false" customHeight="true" outlineLevel="0" collapsed="false">
      <c r="A56" s="22" t="n">
        <v>49</v>
      </c>
      <c r="B56" s="23"/>
      <c r="C56" s="24"/>
      <c r="D56" s="23"/>
      <c r="E56" s="24"/>
      <c r="F56" s="40"/>
      <c r="G56" s="42"/>
      <c r="H56" s="24"/>
      <c r="I56" s="43" t="str">
        <f aca="false">IF(G56&lt;&gt;"",G56-$B$3,"")</f>
        <v/>
      </c>
      <c r="J56" s="23"/>
      <c r="K56" s="42"/>
      <c r="L56" s="24"/>
      <c r="M56" s="24"/>
      <c r="N56" s="23"/>
    </row>
    <row r="57" customFormat="false" ht="18" hidden="false" customHeight="true" outlineLevel="0" collapsed="false">
      <c r="A57" s="27" t="n">
        <v>50</v>
      </c>
      <c r="B57" s="28"/>
      <c r="C57" s="29"/>
      <c r="D57" s="28"/>
      <c r="E57" s="29"/>
      <c r="F57" s="46"/>
      <c r="G57" s="47"/>
      <c r="H57" s="29"/>
      <c r="I57" s="43" t="str">
        <f aca="false">IF(G57&lt;&gt;"",G57-$B$3,"")</f>
        <v/>
      </c>
      <c r="J57" s="28"/>
      <c r="K57" s="47"/>
      <c r="L57" s="29"/>
      <c r="M57" s="29"/>
      <c r="N57" s="28"/>
    </row>
    <row r="59" customFormat="false" ht="21.75" hidden="false" customHeight="true" outlineLevel="0" collapsed="false">
      <c r="A59" s="33" t="s">
        <v>34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</row>
  </sheetData>
  <sheetProtection sheet="true" password="df0a"/>
  <mergeCells count="8">
    <mergeCell ref="A1:N1"/>
    <mergeCell ref="A4:N4"/>
    <mergeCell ref="A5:C5"/>
    <mergeCell ref="D5:G5"/>
    <mergeCell ref="H5:I5"/>
    <mergeCell ref="J5:K5"/>
    <mergeCell ref="L5:M5"/>
    <mergeCell ref="A59:N59"/>
  </mergeCells>
  <conditionalFormatting sqref="H8:H57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3">
      <formula>"Expiring Soon"</formula>
    </cfRule>
    <cfRule type="cellIs" priority="4" operator="equal" aboveAverage="0" equalAverage="0" bottom="0" percent="0" rank="0" text="" dxfId="2">
      <formula>"Expired"</formula>
    </cfRule>
    <cfRule type="cellIs" priority="5" operator="equal" aboveAverage="0" equalAverage="0" bottom="0" percent="0" rank="0" text="" dxfId="2">
      <formula>"Not on File"</formula>
    </cfRule>
    <cfRule type="cellIs" priority="6" operator="equal" aboveAverage="0" equalAverage="0" bottom="0" percent="0" rank="0" text="" dxfId="1">
      <formula>"Exempt"</formula>
    </cfRule>
  </conditionalFormatting>
  <conditionalFormatting sqref="I8:I57">
    <cfRule type="cellIs" priority="7" operator="lessThan" aboveAverage="0" equalAverage="0" bottom="0" percent="0" rank="0" text="" dxfId="2">
      <formula>0</formula>
    </cfRule>
    <cfRule type="cellIs" priority="8" operator="between" aboveAverage="0" equalAverage="0" bottom="0" percent="0" rank="0" text="" dxfId="4">
      <formula>0</formula>
      <formula>30</formula>
    </cfRule>
    <cfRule type="cellIs" priority="9" operator="greaterThan" aboveAverage="0" equalAverage="0" bottom="0" percent="0" rank="0" text="" dxfId="0">
      <formula>30</formula>
    </cfRule>
  </conditionalFormatting>
  <conditionalFormatting sqref="M8:M57">
    <cfRule type="cellIs" priority="10" operator="equal" aboveAverage="0" equalAverage="0" bottom="0" percent="0" rank="0" text="" dxfId="0">
      <formula>"On File"</formula>
    </cfRule>
    <cfRule type="cellIs" priority="11" operator="equal" aboveAverage="0" equalAverage="0" bottom="0" percent="0" rank="0" text="" dxfId="2">
      <formula>"Missing"</formula>
    </cfRule>
    <cfRule type="cellIs" priority="12" operator="equal" aboveAverage="0" equalAverage="0" bottom="0" percent="0" rank="0" text="" dxfId="2">
      <formula>"Expired"</formula>
    </cfRule>
    <cfRule type="cellIs" priority="13" operator="equal" aboveAverage="0" equalAverage="0" bottom="0" percent="0" rank="0" text="" dxfId="1">
      <formula>"Not Required"</formula>
    </cfRule>
  </conditionalFormatting>
  <dataValidations count="3">
    <dataValidation allowBlank="true" errorStyle="stop" operator="between" showDropDown="false" showErrorMessage="true" showInputMessage="false" sqref="H8:H57" type="list">
      <formula1>"Current,Expiring Soon,Expired,Not on File,Exempt"</formula1>
      <formula2>0</formula2>
    </dataValidation>
    <dataValidation allowBlank="true" errorStyle="stop" operator="between" showDropDown="false" showErrorMessage="true" showInputMessage="false" sqref="L8:L57" type="list">
      <formula1>"Yes,No"</formula1>
      <formula2>0</formula2>
    </dataValidation>
    <dataValidation allowBlank="true" errorStyle="stop" operator="between" showDropDown="false" showErrorMessage="true" showInputMessage="false" sqref="M8:M57" type="list">
      <formula1>"On File,Missing,Expired,Not Required"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2"/>
  </cols>
  <sheetData>
    <row r="1" customFormat="false" ht="36" hidden="false" customHeight="true" outlineLevel="0" collapsed="false">
      <c r="A1" s="1" t="s">
        <v>132</v>
      </c>
      <c r="B1" s="1"/>
      <c r="C1" s="1"/>
    </row>
    <row r="3" customFormat="false" ht="54.75" hidden="false" customHeight="true" outlineLevel="0" collapsed="false">
      <c r="A3" s="69" t="s">
        <v>133</v>
      </c>
      <c r="B3" s="69"/>
      <c r="C3" s="69"/>
    </row>
    <row r="5" customFormat="false" ht="24" hidden="false" customHeight="true" outlineLevel="0" collapsed="false">
      <c r="A5" s="70" t="s">
        <v>134</v>
      </c>
      <c r="B5" s="70"/>
      <c r="C5" s="70"/>
    </row>
    <row r="6" customFormat="false" ht="49.5" hidden="false" customHeight="true" outlineLevel="0" collapsed="false">
      <c r="B6" s="71" t="s">
        <v>135</v>
      </c>
      <c r="C6" s="72" t="s">
        <v>136</v>
      </c>
    </row>
    <row r="7" customFormat="false" ht="49.5" hidden="false" customHeight="true" outlineLevel="0" collapsed="false">
      <c r="B7" s="71" t="s">
        <v>137</v>
      </c>
      <c r="C7" s="72" t="s">
        <v>138</v>
      </c>
    </row>
    <row r="8" customFormat="false" ht="49.5" hidden="false" customHeight="true" outlineLevel="0" collapsed="false">
      <c r="B8" s="71" t="s">
        <v>139</v>
      </c>
      <c r="C8" s="72" t="s">
        <v>140</v>
      </c>
    </row>
    <row r="10" customFormat="false" ht="24" hidden="false" customHeight="true" outlineLevel="0" collapsed="false">
      <c r="A10" s="73" t="s">
        <v>141</v>
      </c>
      <c r="B10" s="73"/>
      <c r="C10" s="73"/>
    </row>
    <row r="11" customFormat="false" ht="49.5" hidden="false" customHeight="true" outlineLevel="0" collapsed="false">
      <c r="B11" s="71" t="s">
        <v>45</v>
      </c>
      <c r="C11" s="72" t="s">
        <v>142</v>
      </c>
    </row>
    <row r="12" customFormat="false" ht="49.5" hidden="false" customHeight="true" outlineLevel="0" collapsed="false">
      <c r="B12" s="71" t="s">
        <v>143</v>
      </c>
      <c r="C12" s="72" t="s">
        <v>144</v>
      </c>
    </row>
    <row r="13" customFormat="false" ht="49.5" hidden="false" customHeight="true" outlineLevel="0" collapsed="false">
      <c r="B13" s="71" t="s">
        <v>145</v>
      </c>
      <c r="C13" s="72" t="s">
        <v>146</v>
      </c>
    </row>
    <row r="15" customFormat="false" ht="24" hidden="false" customHeight="true" outlineLevel="0" collapsed="false">
      <c r="A15" s="74" t="s">
        <v>147</v>
      </c>
      <c r="B15" s="74"/>
      <c r="C15" s="74"/>
    </row>
    <row r="16" customFormat="false" ht="49.5" hidden="false" customHeight="true" outlineLevel="0" collapsed="false">
      <c r="B16" s="71" t="s">
        <v>148</v>
      </c>
      <c r="C16" s="72" t="s">
        <v>149</v>
      </c>
    </row>
    <row r="17" customFormat="false" ht="49.5" hidden="false" customHeight="true" outlineLevel="0" collapsed="false">
      <c r="B17" s="71" t="s">
        <v>150</v>
      </c>
      <c r="C17" s="72" t="s">
        <v>151</v>
      </c>
    </row>
    <row r="18" customFormat="false" ht="49.5" hidden="false" customHeight="true" outlineLevel="0" collapsed="false">
      <c r="B18" s="71" t="s">
        <v>152</v>
      </c>
      <c r="C18" s="72" t="s">
        <v>153</v>
      </c>
    </row>
    <row r="20" customFormat="false" ht="24" hidden="false" customHeight="true" outlineLevel="0" collapsed="false">
      <c r="A20" s="75" t="s">
        <v>154</v>
      </c>
      <c r="B20" s="75"/>
      <c r="C20" s="75"/>
    </row>
    <row r="21" customFormat="false" ht="49.5" hidden="false" customHeight="true" outlineLevel="0" collapsed="false">
      <c r="B21" s="71" t="s">
        <v>155</v>
      </c>
      <c r="C21" s="72" t="s">
        <v>156</v>
      </c>
    </row>
    <row r="22" customFormat="false" ht="49.5" hidden="false" customHeight="true" outlineLevel="0" collapsed="false">
      <c r="B22" s="71" t="s">
        <v>157</v>
      </c>
      <c r="C22" s="72" t="s">
        <v>158</v>
      </c>
    </row>
    <row r="23" customFormat="false" ht="49.5" hidden="false" customHeight="true" outlineLevel="0" collapsed="false">
      <c r="B23" s="71" t="s">
        <v>159</v>
      </c>
      <c r="C23" s="72" t="s">
        <v>160</v>
      </c>
    </row>
    <row r="25" customFormat="false" ht="24" hidden="false" customHeight="true" outlineLevel="0" collapsed="false">
      <c r="A25" s="76" t="s">
        <v>161</v>
      </c>
      <c r="B25" s="76"/>
      <c r="C25" s="76"/>
    </row>
    <row r="26" customFormat="false" ht="49.5" hidden="false" customHeight="true" outlineLevel="0" collapsed="false">
      <c r="B26" s="71" t="s">
        <v>162</v>
      </c>
      <c r="C26" s="72" t="s">
        <v>163</v>
      </c>
    </row>
    <row r="27" customFormat="false" ht="49.5" hidden="false" customHeight="true" outlineLevel="0" collapsed="false">
      <c r="B27" s="71" t="s">
        <v>164</v>
      </c>
      <c r="C27" s="72" t="s">
        <v>165</v>
      </c>
    </row>
    <row r="28" customFormat="false" ht="49.5" hidden="false" customHeight="true" outlineLevel="0" collapsed="false">
      <c r="B28" s="71" t="s">
        <v>166</v>
      </c>
      <c r="C28" s="72" t="s">
        <v>167</v>
      </c>
    </row>
    <row r="30" customFormat="false" ht="24" hidden="false" customHeight="true" outlineLevel="0" collapsed="false">
      <c r="A30" s="73" t="s">
        <v>168</v>
      </c>
      <c r="B30" s="73"/>
      <c r="C30" s="73"/>
    </row>
    <row r="31" customFormat="false" ht="49.5" hidden="false" customHeight="true" outlineLevel="0" collapsed="false">
      <c r="B31" s="71" t="s">
        <v>169</v>
      </c>
      <c r="C31" s="72" t="s">
        <v>170</v>
      </c>
    </row>
    <row r="32" customFormat="false" ht="49.5" hidden="false" customHeight="true" outlineLevel="0" collapsed="false">
      <c r="B32" s="71" t="s">
        <v>171</v>
      </c>
      <c r="C32" s="72" t="s">
        <v>172</v>
      </c>
    </row>
    <row r="33" customFormat="false" ht="49.5" hidden="false" customHeight="true" outlineLevel="0" collapsed="false">
      <c r="B33" s="71" t="s">
        <v>173</v>
      </c>
      <c r="C33" s="72" t="s">
        <v>174</v>
      </c>
    </row>
    <row r="34" customFormat="false" ht="49.5" hidden="false" customHeight="true" outlineLevel="0" collapsed="false">
      <c r="B34" s="71" t="s">
        <v>175</v>
      </c>
      <c r="C34" s="72" t="s">
        <v>176</v>
      </c>
    </row>
    <row r="35" customFormat="false" ht="49.5" hidden="false" customHeight="true" outlineLevel="0" collapsed="false">
      <c r="B35" s="71" t="s">
        <v>177</v>
      </c>
      <c r="C35" s="72" t="s">
        <v>178</v>
      </c>
    </row>
    <row r="36" customFormat="false" ht="49.5" hidden="false" customHeight="true" outlineLevel="0" collapsed="false">
      <c r="B36" s="71" t="s">
        <v>179</v>
      </c>
      <c r="C36" s="72" t="s">
        <v>180</v>
      </c>
    </row>
    <row r="38" customFormat="false" ht="21.75" hidden="false" customHeight="true" outlineLevel="0" collapsed="false">
      <c r="A38" s="33" t="s">
        <v>34</v>
      </c>
      <c r="B38" s="33"/>
      <c r="C38" s="33"/>
    </row>
  </sheetData>
  <sheetProtection sheet="true" password="df0a"/>
  <mergeCells count="9">
    <mergeCell ref="A1:C1"/>
    <mergeCell ref="A3:C3"/>
    <mergeCell ref="A5:C5"/>
    <mergeCell ref="A10:C10"/>
    <mergeCell ref="A15:C15"/>
    <mergeCell ref="A20:C20"/>
    <mergeCell ref="A25:C25"/>
    <mergeCell ref="A30:C30"/>
    <mergeCell ref="A38:C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2026-03-30T20:33:13Z</dcterms:created>
  <dc:creator>openpyxl</dc:creator>
  <dc:description/>
  <dc:language>en-US</dc:language>
  <cp:lastModifiedBy/>
  <dcterms:modified xsi:type="dcterms:W3CDTF">2026-03-30T20:33:15Z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